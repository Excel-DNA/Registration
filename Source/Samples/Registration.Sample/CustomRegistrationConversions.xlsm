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ork\Excel-DNA\CustomRegistration\Source\ExcelDna.CustomRegistration.Example\"/>
    </mc:Choice>
  </mc:AlternateContent>
  <bookViews>
    <workbookView xWindow="0" yWindow="0" windowWidth="25200" windowHeight="11985" activeTab="2"/>
  </bookViews>
  <sheets>
    <sheet name="Nullable" sheetId="2" r:id="rId1"/>
    <sheet name="Conversions" sheetId="1" r:id="rId2"/>
    <sheet name="Async" sheetId="3" r:id="rId3"/>
  </sheets>
  <functionGroups builtInGroupCount="18"/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1" i="1" l="1"/>
  <c r="B10" i="1"/>
  <c r="K21" i="1"/>
  <c r="AA21" i="1"/>
  <c r="M22" i="1"/>
  <c r="AC22" i="1"/>
  <c r="O23" i="1"/>
  <c r="AE23" i="1"/>
  <c r="K22" i="1"/>
  <c r="M23" i="1"/>
  <c r="N21" i="1"/>
  <c r="P22" i="1"/>
  <c r="R23" i="1"/>
  <c r="L21" i="1"/>
  <c r="AB21" i="1"/>
  <c r="N22" i="1"/>
  <c r="AD22" i="1"/>
  <c r="P23" i="1"/>
  <c r="AF23" i="1"/>
  <c r="Y21" i="1"/>
  <c r="W22" i="1"/>
  <c r="Y23" i="1"/>
  <c r="D22" i="1"/>
  <c r="F23" i="1"/>
  <c r="B23" i="1"/>
  <c r="K6" i="1"/>
  <c r="W8" i="1"/>
  <c r="I12" i="1"/>
  <c r="U14" i="1"/>
  <c r="G17" i="1"/>
  <c r="J5" i="1"/>
  <c r="V7" i="1"/>
  <c r="H10" i="1"/>
  <c r="T13" i="1"/>
  <c r="AF15" i="1"/>
  <c r="T5" i="1"/>
  <c r="U6" i="1"/>
  <c r="G9" i="1"/>
  <c r="S12" i="1"/>
  <c r="AE14" i="1"/>
  <c r="Y17" i="1"/>
  <c r="L14" i="1"/>
  <c r="AB16" i="1"/>
  <c r="AB9" i="1"/>
  <c r="AD17" i="1"/>
  <c r="E5" i="1"/>
  <c r="D6" i="1"/>
  <c r="K13" i="1"/>
  <c r="M8" i="1"/>
  <c r="W16" i="1"/>
  <c r="H16" i="1"/>
  <c r="C13" i="1"/>
  <c r="AE6" i="1"/>
  <c r="Q9" i="1"/>
  <c r="AC12" i="1"/>
  <c r="O15" i="1"/>
  <c r="AA17" i="1"/>
  <c r="AD5" i="1"/>
  <c r="P8" i="1"/>
  <c r="AB10" i="1"/>
  <c r="N14" i="1"/>
  <c r="Z16" i="1"/>
  <c r="AB7" i="1"/>
  <c r="O7" i="1"/>
  <c r="AA9" i="1"/>
  <c r="M13" i="1"/>
  <c r="Y15" i="1"/>
  <c r="H7" i="1"/>
  <c r="AF16" i="1"/>
  <c r="Z10" i="1"/>
  <c r="AF9" i="1"/>
  <c r="B7" i="1"/>
  <c r="E9" i="1"/>
  <c r="C10" i="1"/>
  <c r="G6" i="1"/>
  <c r="U12" i="1"/>
  <c r="M17" i="1"/>
  <c r="N9" i="1"/>
  <c r="AB15" i="1"/>
  <c r="G7" i="1"/>
  <c r="G16" i="1"/>
  <c r="J15" i="1"/>
  <c r="E15" i="1"/>
  <c r="AC5" i="1"/>
  <c r="O8" i="1"/>
  <c r="AA10" i="1"/>
  <c r="M14" i="1"/>
  <c r="Y16" i="1"/>
  <c r="X7" i="1"/>
  <c r="N7" i="1"/>
  <c r="Z9" i="1"/>
  <c r="L13" i="1"/>
  <c r="X15" i="1"/>
  <c r="U17" i="1"/>
  <c r="M6" i="1"/>
  <c r="Y8" i="1"/>
  <c r="K12" i="1"/>
  <c r="W14" i="1"/>
  <c r="I17" i="1"/>
  <c r="J13" i="1"/>
  <c r="V13" i="1"/>
  <c r="V17" i="1"/>
  <c r="H14" i="1"/>
  <c r="E8" i="1"/>
  <c r="D7" i="1"/>
  <c r="M7" i="1"/>
  <c r="AA13" i="1"/>
  <c r="R6" i="1"/>
  <c r="T10" i="1"/>
  <c r="R16" i="1"/>
  <c r="W7" i="1"/>
  <c r="Q15" i="1"/>
  <c r="X9" i="1"/>
  <c r="E17" i="1"/>
  <c r="C8" i="1"/>
  <c r="F16" i="1"/>
  <c r="F13" i="1"/>
  <c r="F17" i="1"/>
  <c r="F10" i="1"/>
  <c r="B13" i="1"/>
  <c r="U16" i="1"/>
  <c r="V9" i="1"/>
  <c r="AF17" i="1"/>
  <c r="U8" i="1"/>
  <c r="AE16" i="1"/>
  <c r="AD8" i="1"/>
  <c r="E7" i="1"/>
  <c r="AC7" i="1"/>
  <c r="O10" i="1"/>
  <c r="AE21" i="1"/>
  <c r="Q22" i="1"/>
  <c r="C23" i="1"/>
  <c r="S23" i="1"/>
  <c r="I21" i="1"/>
  <c r="S22" i="1"/>
  <c r="U23" i="1"/>
  <c r="V21" i="1"/>
  <c r="X22" i="1"/>
  <c r="Z23" i="1"/>
  <c r="P21" i="1"/>
  <c r="AF21" i="1"/>
  <c r="R22" i="1"/>
  <c r="D23" i="1"/>
  <c r="T23" i="1"/>
  <c r="E21" i="1"/>
  <c r="AC21" i="1"/>
  <c r="AE22" i="1"/>
  <c r="F21" i="1"/>
  <c r="L22" i="1"/>
  <c r="N23" i="1"/>
  <c r="B22" i="1"/>
  <c r="AA6" i="1"/>
  <c r="M9" i="1"/>
  <c r="Y12" i="1"/>
  <c r="K15" i="1"/>
  <c r="W17" i="1"/>
  <c r="Z5" i="1"/>
  <c r="L8" i="1"/>
  <c r="X10" i="1"/>
  <c r="J14" i="1"/>
  <c r="V16" i="1"/>
  <c r="P7" i="1"/>
  <c r="K7" i="1"/>
  <c r="W9" i="1"/>
  <c r="I13" i="1"/>
  <c r="U15" i="1"/>
  <c r="Z6" i="1"/>
  <c r="P16" i="1"/>
  <c r="J10" i="1"/>
  <c r="J17" i="1"/>
  <c r="B8" i="1"/>
  <c r="E12" i="1"/>
  <c r="D10" i="1"/>
  <c r="R7" i="1"/>
  <c r="I10" i="1"/>
  <c r="AF7" i="1"/>
  <c r="L16" i="1"/>
  <c r="I5" i="1"/>
  <c r="U7" i="1"/>
  <c r="G10" i="1"/>
  <c r="S13" i="1"/>
  <c r="AE15" i="1"/>
  <c r="P5" i="1"/>
  <c r="T6" i="1"/>
  <c r="AF8" i="1"/>
  <c r="R12" i="1"/>
  <c r="AD14" i="1"/>
  <c r="P17" i="1"/>
  <c r="S5" i="1"/>
  <c r="AE7" i="1"/>
  <c r="Q10" i="1"/>
  <c r="AC13" i="1"/>
  <c r="O16" i="1"/>
  <c r="R8" i="1"/>
  <c r="R13" i="1"/>
  <c r="AD13" i="1"/>
  <c r="N17" i="1"/>
  <c r="B17" i="1"/>
  <c r="D8" i="1"/>
  <c r="C17" i="1"/>
  <c r="W6" i="1"/>
  <c r="Q14" i="1"/>
  <c r="J8" i="1"/>
  <c r="J12" i="1"/>
  <c r="H17" i="1"/>
  <c r="AC8" i="1"/>
  <c r="Q17" i="1"/>
  <c r="AF14" i="1"/>
  <c r="D12" i="1"/>
  <c r="S6" i="1"/>
  <c r="AE8" i="1"/>
  <c r="Q12" i="1"/>
  <c r="AC14" i="1"/>
  <c r="O17" i="1"/>
  <c r="R5" i="1"/>
  <c r="AD7" i="1"/>
  <c r="P10" i="1"/>
  <c r="AB13" i="1"/>
  <c r="N16" i="1"/>
  <c r="J6" i="1"/>
  <c r="AC6" i="1"/>
  <c r="O9" i="1"/>
  <c r="AA12" i="1"/>
  <c r="M15" i="1"/>
  <c r="AF5" i="1"/>
  <c r="N15" i="1"/>
  <c r="H9" i="1"/>
  <c r="AF12" i="1"/>
  <c r="B6" i="1"/>
  <c r="E13" i="1"/>
  <c r="C16" i="1"/>
  <c r="S8" i="1"/>
  <c r="G15" i="1"/>
  <c r="V5" i="1"/>
  <c r="Z12" i="1"/>
  <c r="X17" i="1"/>
  <c r="S9" i="1"/>
  <c r="N6" i="1"/>
  <c r="Z8" i="1"/>
  <c r="D5" i="1"/>
  <c r="F9" i="1"/>
  <c r="F6" i="1"/>
  <c r="Y5" i="1"/>
  <c r="I14" i="1"/>
  <c r="J7" i="1"/>
  <c r="H13" i="1"/>
  <c r="I6" i="1"/>
  <c r="S14" i="1"/>
  <c r="X12" i="1"/>
  <c r="T12" i="1"/>
  <c r="D14" i="1"/>
  <c r="W15" i="1"/>
  <c r="C21" i="1"/>
  <c r="S21" i="1"/>
  <c r="E22" i="1"/>
  <c r="U22" i="1"/>
  <c r="G23" i="1"/>
  <c r="W23" i="1"/>
  <c r="U21" i="1"/>
  <c r="AA22" i="1"/>
  <c r="AC23" i="1"/>
  <c r="AD21" i="1"/>
  <c r="AF22" i="1"/>
  <c r="D21" i="1"/>
  <c r="T21" i="1"/>
  <c r="F22" i="1"/>
  <c r="V22" i="1"/>
  <c r="H23" i="1"/>
  <c r="X23" i="1"/>
  <c r="M21" i="1"/>
  <c r="G22" i="1"/>
  <c r="I23" i="1"/>
  <c r="R21" i="1"/>
  <c r="T22" i="1"/>
  <c r="V23" i="1"/>
  <c r="B21" i="1"/>
  <c r="Q7" i="1"/>
  <c r="AC9" i="1"/>
  <c r="O13" i="1"/>
  <c r="AA15" i="1"/>
  <c r="AC17" i="1"/>
  <c r="P6" i="1"/>
  <c r="AB8" i="1"/>
  <c r="N12" i="1"/>
  <c r="Z14" i="1"/>
  <c r="L17" i="1"/>
  <c r="O5" i="1"/>
  <c r="AA7" i="1"/>
  <c r="M10" i="1"/>
  <c r="Y13" i="1"/>
  <c r="K16" i="1"/>
  <c r="N8" i="1"/>
  <c r="AD10" i="1"/>
  <c r="N13" i="1"/>
  <c r="Z15" i="1"/>
  <c r="B14" i="1"/>
  <c r="E6" i="1"/>
  <c r="C9" i="1"/>
  <c r="AD9" i="1"/>
  <c r="AE12" i="1"/>
  <c r="AD15" i="1"/>
  <c r="K8" i="1"/>
  <c r="W10" i="1"/>
  <c r="L7" i="1"/>
  <c r="T15" i="1"/>
  <c r="G12" i="1"/>
  <c r="T16" i="1"/>
  <c r="C5" i="1"/>
  <c r="G21" i="1"/>
  <c r="K23" i="1"/>
  <c r="J21" i="1"/>
  <c r="X21" i="1"/>
  <c r="AB23" i="1"/>
  <c r="Z21" i="1"/>
  <c r="G8" i="1"/>
  <c r="AD6" i="1"/>
  <c r="P15" i="1"/>
  <c r="AC10" i="1"/>
  <c r="X16" i="1"/>
  <c r="D16" i="1"/>
  <c r="AB12" i="1"/>
  <c r="M12" i="1"/>
  <c r="Z7" i="1"/>
  <c r="AB5" i="1"/>
  <c r="I15" i="1"/>
  <c r="N10" i="1"/>
  <c r="C7" i="1"/>
  <c r="H8" i="1"/>
  <c r="K5" i="1"/>
  <c r="L9" i="1"/>
  <c r="M5" i="1"/>
  <c r="K10" i="1"/>
  <c r="I16" i="1"/>
  <c r="X6" i="1"/>
  <c r="V12" i="1"/>
  <c r="T17" i="1"/>
  <c r="I8" i="1"/>
  <c r="G14" i="1"/>
  <c r="T9" i="1"/>
  <c r="P14" i="1"/>
  <c r="E16" i="1"/>
  <c r="Q5" i="1"/>
  <c r="S17" i="1"/>
  <c r="L15" i="1"/>
  <c r="K14" i="1"/>
  <c r="B9" i="1"/>
  <c r="F15" i="1"/>
  <c r="F12" i="1"/>
  <c r="Y9" i="1"/>
  <c r="V6" i="1"/>
  <c r="C15" i="1"/>
  <c r="F5" i="1"/>
  <c r="U5" i="1"/>
  <c r="H12" i="1"/>
  <c r="AA14" i="1"/>
  <c r="N5" i="1"/>
  <c r="V8" i="1"/>
  <c r="H5" i="1"/>
  <c r="U9" i="1"/>
  <c r="H6" i="1"/>
  <c r="Q13" i="1"/>
  <c r="L12" i="1"/>
  <c r="C6" i="1"/>
  <c r="O12" i="1"/>
  <c r="F7" i="1"/>
  <c r="W21" i="1"/>
  <c r="AA23" i="1"/>
  <c r="H22" i="1"/>
  <c r="J22" i="1"/>
  <c r="Q21" i="1"/>
  <c r="AB22" i="1"/>
  <c r="S10" i="1"/>
  <c r="AF6" i="1"/>
  <c r="AB17" i="1"/>
  <c r="O14" i="1"/>
  <c r="R15" i="1"/>
  <c r="C12" i="1"/>
  <c r="E10" i="1"/>
  <c r="Y14" i="1"/>
  <c r="L10" i="1"/>
  <c r="Y6" i="1"/>
  <c r="L5" i="1"/>
  <c r="B15" i="1"/>
  <c r="I9" i="1"/>
  <c r="P13" i="1"/>
  <c r="Y10" i="1"/>
  <c r="Z17" i="1"/>
  <c r="I7" i="1"/>
  <c r="G13" i="1"/>
  <c r="AE17" i="1"/>
  <c r="T8" i="1"/>
  <c r="R14" i="1"/>
  <c r="G5" i="1"/>
  <c r="AE9" i="1"/>
  <c r="AC15" i="1"/>
  <c r="R17" i="1"/>
  <c r="R10" i="1"/>
  <c r="D17" i="1"/>
  <c r="AB6" i="1"/>
  <c r="Z13" i="1"/>
  <c r="Q16" i="1"/>
  <c r="J16" i="1"/>
  <c r="D13" i="1"/>
  <c r="V10" i="1"/>
  <c r="S15" i="1"/>
  <c r="AD16" i="1"/>
  <c r="T7" i="1"/>
  <c r="AF13" i="1"/>
  <c r="F14" i="1"/>
  <c r="I22" i="1"/>
  <c r="C22" i="1"/>
  <c r="J23" i="1"/>
  <c r="Z22" i="1"/>
  <c r="O22" i="1"/>
  <c r="AD23" i="1"/>
  <c r="AE13" i="1"/>
  <c r="R9" i="1"/>
  <c r="AE5" i="1"/>
  <c r="AA16" i="1"/>
  <c r="P9" i="1"/>
  <c r="Q6" i="1"/>
  <c r="O6" i="1"/>
  <c r="K17" i="1"/>
  <c r="X13" i="1"/>
  <c r="K9" i="1"/>
  <c r="AB14" i="1"/>
  <c r="E14" i="1"/>
  <c r="AC16" i="1"/>
  <c r="V14" i="1"/>
  <c r="U13" i="1"/>
  <c r="B5" i="1"/>
  <c r="Y7" i="1"/>
  <c r="W13" i="1"/>
  <c r="X5" i="1"/>
  <c r="J9" i="1"/>
  <c r="H15" i="1"/>
  <c r="W5" i="1"/>
  <c r="U10" i="1"/>
  <c r="S16" i="1"/>
  <c r="T14" i="1"/>
  <c r="P12" i="1"/>
  <c r="D15" i="1"/>
  <c r="AE10" i="1"/>
  <c r="X8" i="1"/>
  <c r="AA5" i="1"/>
  <c r="V15" i="1"/>
  <c r="C14" i="1"/>
  <c r="F8" i="1"/>
  <c r="Y22" i="1"/>
  <c r="E23" i="1"/>
  <c r="H21" i="1"/>
  <c r="L23" i="1"/>
  <c r="Q23" i="1"/>
  <c r="AD12" i="1"/>
  <c r="Q8" i="1"/>
  <c r="B12" i="1"/>
  <c r="AA8" i="1"/>
  <c r="W12" i="1"/>
  <c r="L6" i="1"/>
  <c r="D9" i="1"/>
  <c r="AF10" i="1"/>
  <c r="S7" i="1"/>
  <c r="B16" i="1"/>
  <c r="M16" i="1"/>
  <c r="X14" i="1"/>
  <c r="C4" i="2"/>
  <c r="B6" i="2"/>
  <c r="B5" i="2"/>
  <c r="B4" i="2"/>
  <c r="B3" i="2"/>
  <c r="B2" i="2"/>
  <c r="C6" i="2"/>
  <c r="C5" i="2"/>
  <c r="C3" i="2"/>
  <c r="C2" i="2"/>
  <c r="A2" i="3"/>
  <c r="A1" i="3"/>
  <c r="R3" i="1"/>
  <c r="W3" i="1"/>
  <c r="N3" i="1"/>
  <c r="B3" i="1"/>
  <c r="E3" i="1"/>
  <c r="U3" i="1"/>
  <c r="AC3" i="1"/>
  <c r="V3" i="1"/>
  <c r="L3" i="1"/>
  <c r="I3" i="1"/>
  <c r="Q3" i="1"/>
  <c r="AD3" i="1"/>
  <c r="T3" i="1"/>
  <c r="X3" i="1"/>
  <c r="D3" i="1"/>
  <c r="Y3" i="1"/>
  <c r="Z3" i="1"/>
  <c r="J3" i="1"/>
  <c r="AB3" i="1"/>
  <c r="AA3" i="1"/>
  <c r="G3" i="1"/>
  <c r="C3" i="1"/>
  <c r="K3" i="1"/>
  <c r="F3" i="1"/>
  <c r="AF3" i="1"/>
  <c r="AE3" i="1"/>
  <c r="H3" i="1"/>
  <c r="S3" i="1"/>
  <c r="M3" i="1"/>
  <c r="O3" i="1"/>
  <c r="P3" i="1"/>
  <c r="B19" i="1" l="1"/>
  <c r="AF19" i="1"/>
  <c r="L19" i="1"/>
  <c r="AE19" i="1"/>
  <c r="AA19" i="1"/>
  <c r="W19" i="1"/>
  <c r="S19" i="1"/>
  <c r="O19" i="1"/>
  <c r="K19" i="1"/>
  <c r="G19" i="1"/>
  <c r="C19" i="1"/>
  <c r="AB19" i="1"/>
  <c r="T19" i="1"/>
  <c r="H19" i="1"/>
  <c r="AD19" i="1"/>
  <c r="Z19" i="1"/>
  <c r="V19" i="1"/>
  <c r="R19" i="1"/>
  <c r="N19" i="1"/>
  <c r="J19" i="1"/>
  <c r="F19" i="1"/>
  <c r="X19" i="1"/>
  <c r="P19" i="1"/>
  <c r="D19" i="1"/>
  <c r="AC19" i="1"/>
  <c r="Y19" i="1"/>
  <c r="U19" i="1"/>
  <c r="Q19" i="1"/>
  <c r="M19" i="1"/>
  <c r="I19" i="1"/>
  <c r="E19" i="1"/>
</calcChain>
</file>

<file path=xl/sharedStrings.xml><?xml version="1.0" encoding="utf-8"?>
<sst xmlns="http://schemas.openxmlformats.org/spreadsheetml/2006/main" count="19" uniqueCount="13">
  <si>
    <t>Test</t>
  </si>
  <si>
    <t>String</t>
  </si>
  <si>
    <t>Double</t>
  </si>
  <si>
    <t>Int32</t>
  </si>
  <si>
    <t>DateTime</t>
  </si>
  <si>
    <t>Boolean</t>
  </si>
  <si>
    <t>Input</t>
  </si>
  <si>
    <t>Int64</t>
  </si>
  <si>
    <t>Equal</t>
  </si>
  <si>
    <t>Hello There!</t>
  </si>
  <si>
    <t>"True"</t>
  </si>
  <si>
    <t>FALSE</t>
  </si>
  <si>
    <t>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</si>
</sst>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5" fontId="0" fillId="0" borderId="0" xfId="0" applyNumberFormat="1"/>
    <xf numFmtId="0" fontId="0" fillId="0" borderId="0" xfId="0" quotePrefix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6"/>
  <sheetViews>
    <sheetView workbookViewId="0">
      <selection activeCell="D9" sqref="D9"/>
    </sheetView>
  </sheetViews>
  <sheetFormatPr defaultRowHeight="15" x14ac:dyDescent="0.25"/>
  <sheetData>
    <row r="2" spans="2:3" x14ac:dyDescent="0.25">
      <c r="B2" t="str">
        <f>_xll.dnaNullableBoolean()</f>
        <v>NULL</v>
      </c>
      <c r="C2" t="str">
        <f>_xll.dnaNullableBoolean(2)</f>
        <v>VAL: True</v>
      </c>
    </row>
    <row r="3" spans="2:3" x14ac:dyDescent="0.25">
      <c r="B3" t="str">
        <f>_xll.dnaNullableDateTime()</f>
        <v>NULL</v>
      </c>
      <c r="C3" t="str">
        <f>_xll.dnaNullableDateTime(12.3)</f>
        <v>VAL: 1900-01-11 07:12:00</v>
      </c>
    </row>
    <row r="4" spans="2:3" x14ac:dyDescent="0.25">
      <c r="B4" t="str">
        <f>_xll.dnaNullableDouble()</f>
        <v>NULL</v>
      </c>
      <c r="C4" t="str">
        <f>_xll.dnaNullableDouble(12.3)</f>
        <v>VAL: 12.3</v>
      </c>
    </row>
    <row r="5" spans="2:3" x14ac:dyDescent="0.25">
      <c r="B5" t="str">
        <f>_xll.dnaNullableInt()</f>
        <v>NULL</v>
      </c>
      <c r="C5" t="str">
        <f>_xll.dnaNullableInt(12)</f>
        <v>VAL: 12</v>
      </c>
    </row>
    <row r="6" spans="2:3" x14ac:dyDescent="0.25">
      <c r="B6" t="str">
        <f>_xll.dnaNullableLong()</f>
        <v>NULL</v>
      </c>
      <c r="C6" t="str">
        <f>_xll.dnaNullableLong(12345)</f>
        <v>VAL: 12345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F23"/>
  <sheetViews>
    <sheetView workbookViewId="0">
      <selection activeCell="I21" sqref="I21"/>
    </sheetView>
  </sheetViews>
  <sheetFormatPr defaultRowHeight="15" x14ac:dyDescent="0.25"/>
  <cols>
    <col min="2" max="2" width="10.140625" customWidth="1"/>
    <col min="5" max="5" width="9.7109375" bestFit="1" customWidth="1"/>
    <col min="15" max="15" width="15.7109375" customWidth="1"/>
  </cols>
  <sheetData>
    <row r="1" spans="1:32" x14ac:dyDescent="0.25">
      <c r="A1" t="s">
        <v>6</v>
      </c>
      <c r="C1">
        <v>3.5</v>
      </c>
      <c r="D1" t="s">
        <v>9</v>
      </c>
      <c r="E1" s="1">
        <v>29207.55</v>
      </c>
      <c r="F1">
        <v>1E-3</v>
      </c>
      <c r="G1">
        <v>0</v>
      </c>
      <c r="H1">
        <v>1</v>
      </c>
      <c r="I1">
        <v>1E-3</v>
      </c>
      <c r="J1">
        <v>-1E-3</v>
      </c>
      <c r="K1">
        <v>-1</v>
      </c>
      <c r="L1" t="s">
        <v>10</v>
      </c>
      <c r="M1" t="b">
        <v>1</v>
      </c>
      <c r="N1" t="b">
        <v>0</v>
      </c>
      <c r="O1" s="2" t="s">
        <v>11</v>
      </c>
      <c r="P1" t="s">
        <v>12</v>
      </c>
    </row>
    <row r="3" spans="1:32" x14ac:dyDescent="0.25">
      <c r="A3" t="s">
        <v>0</v>
      </c>
      <c r="B3" t="str">
        <f ca="1">_xll.dnaConversionTest(B1)</f>
        <v>Reference: [CustomRegistrationConversions.xlsm]Conversions!$B$1</v>
      </c>
      <c r="C3" t="str">
        <f ca="1">_xll.dnaConversionTest(C1)</f>
        <v>Reference: [CustomRegistrationConversions.xlsm]Conversions!$C$1</v>
      </c>
      <c r="D3" t="str">
        <f ca="1">_xll.dnaConversionTest(D1)</f>
        <v>Reference: [CustomRegistrationConversions.xlsm]Conversions!$D$1</v>
      </c>
      <c r="E3" t="str">
        <f ca="1">_xll.dnaConversionTest(E1)</f>
        <v>Reference: [CustomRegistrationConversions.xlsm]Conversions!$E$1</v>
      </c>
      <c r="F3" t="str">
        <f ca="1">_xll.dnaConversionTest(F1)</f>
        <v>Reference: [CustomRegistrationConversions.xlsm]Conversions!$F$1</v>
      </c>
      <c r="G3" t="str">
        <f ca="1">_xll.dnaConversionTest(G1)</f>
        <v>Reference: [CustomRegistrationConversions.xlsm]Conversions!$G$1</v>
      </c>
      <c r="H3" t="str">
        <f ca="1">_xll.dnaConversionTest(H1)</f>
        <v>Reference: [CustomRegistrationConversions.xlsm]Conversions!$H$1</v>
      </c>
      <c r="I3" t="str">
        <f ca="1">_xll.dnaConversionTest(I1)</f>
        <v>Reference: [CustomRegistrationConversions.xlsm]Conversions!$I$1</v>
      </c>
      <c r="J3" t="str">
        <f ca="1">_xll.dnaConversionTest(J1)</f>
        <v>Reference: [CustomRegistrationConversions.xlsm]Conversions!$J$1</v>
      </c>
      <c r="K3" t="str">
        <f ca="1">_xll.dnaConversionTest(K1)</f>
        <v>Reference: [CustomRegistrationConversions.xlsm]Conversions!$K$1</v>
      </c>
      <c r="L3" t="str">
        <f ca="1">_xll.dnaConversionTest(L1)</f>
        <v>Reference: [CustomRegistrationConversions.xlsm]Conversions!$L$1</v>
      </c>
      <c r="M3" t="str">
        <f ca="1">_xll.dnaConversionTest(M1)</f>
        <v>Reference: [CustomRegistrationConversions.xlsm]Conversions!$M$1</v>
      </c>
      <c r="N3" t="str">
        <f ca="1">_xll.dnaConversionTest(N1)</f>
        <v>Reference: [CustomRegistrationConversions.xlsm]Conversions!$N$1</v>
      </c>
      <c r="O3" t="str">
        <f ca="1">_xll.dnaConversionTest(O1)</f>
        <v>Reference: [CustomRegistrationConversions.xlsm]Conversions!$O$1</v>
      </c>
      <c r="P3" t="str">
        <f ca="1">_xll.dnaConversionTest(P1)</f>
        <v>Reference: [CustomRegistrationConversions.xlsm]Conversions!$P$1</v>
      </c>
      <c r="Q3" t="str">
        <f ca="1">_xll.dnaConversionTest(Q1)</f>
        <v>Reference: [CustomRegistrationConversions.xlsm]Conversions!$Q$1</v>
      </c>
      <c r="R3" t="str">
        <f ca="1">_xll.dnaConversionTest(R1)</f>
        <v>Reference: [CustomRegistrationConversions.xlsm]Conversions!$R$1</v>
      </c>
      <c r="S3" t="str">
        <f ca="1">_xll.dnaConversionTest(S1)</f>
        <v>Reference: [CustomRegistrationConversions.xlsm]Conversions!$S$1</v>
      </c>
      <c r="T3" t="str">
        <f ca="1">_xll.dnaConversionTest(T1)</f>
        <v>Reference: [CustomRegistrationConversions.xlsm]Conversions!$T$1</v>
      </c>
      <c r="U3" t="str">
        <f ca="1">_xll.dnaConversionTest(U1)</f>
        <v>Reference: [CustomRegistrationConversions.xlsm]Conversions!$U$1</v>
      </c>
      <c r="V3" t="str">
        <f ca="1">_xll.dnaConversionTest(V1)</f>
        <v>Reference: [CustomRegistrationConversions.xlsm]Conversions!$V$1</v>
      </c>
      <c r="W3" t="str">
        <f ca="1">_xll.dnaConversionTest(W1)</f>
        <v>Reference: [CustomRegistrationConversions.xlsm]Conversions!$W$1</v>
      </c>
      <c r="X3" t="str">
        <f ca="1">_xll.dnaConversionTest(X1)</f>
        <v>Reference: [CustomRegistrationConversions.xlsm]Conversions!$X$1</v>
      </c>
      <c r="Y3" t="str">
        <f ca="1">_xll.dnaConversionTest(Y1)</f>
        <v>Reference: [CustomRegistrationConversions.xlsm]Conversions!$Y$1</v>
      </c>
      <c r="Z3" t="str">
        <f ca="1">_xll.dnaConversionTest(Z1)</f>
        <v>Reference: [CustomRegistrationConversions.xlsm]Conversions!$Z$1</v>
      </c>
      <c r="AA3" t="str">
        <f ca="1">_xll.dnaConversionTest(AA1)</f>
        <v>Reference: [CustomRegistrationConversions.xlsm]Conversions!$AA$1</v>
      </c>
      <c r="AB3" t="str">
        <f ca="1">_xll.dnaConversionTest(AB1)</f>
        <v>Reference: [CustomRegistrationConversions.xlsm]Conversions!$AB$1</v>
      </c>
      <c r="AC3" t="str">
        <f ca="1">_xll.dnaConversionTest(AC1)</f>
        <v>Reference: [CustomRegistrationConversions.xlsm]Conversions!$AC$1</v>
      </c>
      <c r="AD3" t="str">
        <f ca="1">_xll.dnaConversionTest(AD1)</f>
        <v>Reference: [CustomRegistrationConversions.xlsm]Conversions!$AD$1</v>
      </c>
      <c r="AE3" t="str">
        <f ca="1">_xll.dnaConversionTest(AE1)</f>
        <v>Reference: [CustomRegistrationConversions.xlsm]Conversions!$AE$1</v>
      </c>
      <c r="AF3" t="str">
        <f ca="1">_xll.dnaConversionTest(AF1)</f>
        <v>Reference: [CustomRegistrationConversions.xlsm]Conversions!$AF$1</v>
      </c>
    </row>
    <row r="5" spans="1:32" x14ac:dyDescent="0.25">
      <c r="A5" t="s">
        <v>1</v>
      </c>
      <c r="B5" t="str">
        <f>_xll.dnaDirectString(B1)</f>
        <v/>
      </c>
      <c r="C5" t="str">
        <f>_xll.dnaDirectString(C1)</f>
        <v>3.5</v>
      </c>
      <c r="D5" t="str">
        <f>_xll.dnaDirectString(D1)</f>
        <v>Hello There!</v>
      </c>
      <c r="E5" t="str">
        <f>_xll.dnaDirectString(E1)</f>
        <v>29207.55</v>
      </c>
      <c r="F5" t="str">
        <f>_xll.dnaDirectString(F1)</f>
        <v>0.001</v>
      </c>
      <c r="G5" t="str">
        <f>_xll.dnaDirectString(G1)</f>
        <v>0</v>
      </c>
      <c r="H5" t="str">
        <f>_xll.dnaDirectString(H1)</f>
        <v>1</v>
      </c>
      <c r="I5" t="str">
        <f>_xll.dnaDirectString(I1)</f>
        <v>0.001</v>
      </c>
      <c r="J5" t="str">
        <f>_xll.dnaDirectString(J1)</f>
        <v>-0.001</v>
      </c>
      <c r="K5" t="str">
        <f>_xll.dnaDirectString(K1)</f>
        <v>-1</v>
      </c>
      <c r="L5" t="str">
        <f>_xll.dnaDirectString(L1)</f>
        <v>"True"</v>
      </c>
      <c r="M5" t="str">
        <f>_xll.dnaDirectString(M1)</f>
        <v>TRUE</v>
      </c>
      <c r="N5" t="str">
        <f>_xll.dnaDirectString(N1)</f>
        <v>FALSE</v>
      </c>
      <c r="O5" t="str">
        <f>_xll.dnaDirectString(O1)</f>
        <v>FALSE</v>
      </c>
      <c r="P5" t="str">
        <f>_xll.dnaDirectString(P1)</f>
        <v>T</v>
      </c>
      <c r="Q5" t="str">
        <f>_xll.dnaDirectString(Q1)</f>
        <v/>
      </c>
      <c r="R5" t="str">
        <f>_xll.dnaDirectString(R1)</f>
        <v/>
      </c>
      <c r="S5" t="str">
        <f>_xll.dnaDirectString(S1)</f>
        <v/>
      </c>
      <c r="T5" t="str">
        <f>_xll.dnaDirectString(T1)</f>
        <v/>
      </c>
      <c r="U5" t="str">
        <f>_xll.dnaDirectString(U1)</f>
        <v/>
      </c>
      <c r="V5" t="str">
        <f>_xll.dnaDirectString(V1)</f>
        <v/>
      </c>
      <c r="W5" t="str">
        <f>_xll.dnaDirectString(W1)</f>
        <v/>
      </c>
      <c r="X5" t="str">
        <f>_xll.dnaDirectString(X1)</f>
        <v/>
      </c>
      <c r="Y5" t="str">
        <f>_xll.dnaDirectString(Y1)</f>
        <v/>
      </c>
      <c r="Z5" t="str">
        <f>_xll.dnaDirectString(Z1)</f>
        <v/>
      </c>
      <c r="AA5" t="str">
        <f>_xll.dnaDirectString(AA1)</f>
        <v/>
      </c>
      <c r="AB5" t="str">
        <f>_xll.dnaDirectString(AB1)</f>
        <v/>
      </c>
      <c r="AC5" t="str">
        <f>_xll.dnaDirectString(AC1)</f>
        <v/>
      </c>
      <c r="AD5" t="str">
        <f>_xll.dnaDirectString(AD1)</f>
        <v/>
      </c>
      <c r="AE5" t="str">
        <f>_xll.dnaDirectString(AE1)</f>
        <v/>
      </c>
      <c r="AF5" t="str">
        <f>_xll.dnaDirectString(AF1)</f>
        <v/>
      </c>
    </row>
    <row r="6" spans="1:32" x14ac:dyDescent="0.25">
      <c r="A6" t="s">
        <v>2</v>
      </c>
      <c r="B6">
        <f>_xll.dnaDirectDouble(B1)</f>
        <v>0</v>
      </c>
      <c r="C6">
        <f>_xll.dnaDirectDouble(C1)</f>
        <v>3.5</v>
      </c>
      <c r="D6" t="e">
        <f>_xll.dnaDirectDouble(D1)</f>
        <v>#VALUE!</v>
      </c>
      <c r="E6">
        <f>_xll.dnaDirectDouble(E1)</f>
        <v>29207.55</v>
      </c>
      <c r="F6">
        <f>_xll.dnaDirectDouble(F1)</f>
        <v>1E-3</v>
      </c>
      <c r="G6">
        <f>_xll.dnaDirectDouble(G1)</f>
        <v>0</v>
      </c>
      <c r="H6">
        <f>_xll.dnaDirectDouble(H1)</f>
        <v>1</v>
      </c>
      <c r="I6">
        <f>_xll.dnaDirectDouble(I1)</f>
        <v>1E-3</v>
      </c>
      <c r="J6">
        <f>_xll.dnaDirectDouble(J1)</f>
        <v>-1E-3</v>
      </c>
      <c r="K6">
        <f>_xll.dnaDirectDouble(K1)</f>
        <v>-1</v>
      </c>
      <c r="L6" t="e">
        <f>_xll.dnaDirectDouble(L1)</f>
        <v>#VALUE!</v>
      </c>
      <c r="M6">
        <f>_xll.dnaDirectDouble(M1)</f>
        <v>1</v>
      </c>
      <c r="N6">
        <f>_xll.dnaDirectDouble(N1)</f>
        <v>0</v>
      </c>
      <c r="O6" t="e">
        <f>_xll.dnaDirectDouble(O1)</f>
        <v>#VALUE!</v>
      </c>
      <c r="P6" t="e">
        <f>_xll.dnaDirectDouble(P1)</f>
        <v>#VALUE!</v>
      </c>
      <c r="Q6">
        <f>_xll.dnaDirectDouble(Q1)</f>
        <v>0</v>
      </c>
      <c r="R6">
        <f>_xll.dnaDirectDouble(R1)</f>
        <v>0</v>
      </c>
      <c r="S6">
        <f>_xll.dnaDirectDouble(S1)</f>
        <v>0</v>
      </c>
      <c r="T6">
        <f>_xll.dnaDirectDouble(T1)</f>
        <v>0</v>
      </c>
      <c r="U6">
        <f>_xll.dnaDirectDouble(U1)</f>
        <v>0</v>
      </c>
      <c r="V6">
        <f>_xll.dnaDirectDouble(V1)</f>
        <v>0</v>
      </c>
      <c r="W6">
        <f>_xll.dnaDirectDouble(W1)</f>
        <v>0</v>
      </c>
      <c r="X6">
        <f>_xll.dnaDirectDouble(X1)</f>
        <v>0</v>
      </c>
      <c r="Y6">
        <f>_xll.dnaDirectDouble(Y1)</f>
        <v>0</v>
      </c>
      <c r="Z6">
        <f>_xll.dnaDirectDouble(Z1)</f>
        <v>0</v>
      </c>
      <c r="AA6">
        <f>_xll.dnaDirectDouble(AA1)</f>
        <v>0</v>
      </c>
      <c r="AB6">
        <f>_xll.dnaDirectDouble(AB1)</f>
        <v>0</v>
      </c>
      <c r="AC6">
        <f>_xll.dnaDirectDouble(AC1)</f>
        <v>0</v>
      </c>
      <c r="AD6">
        <f>_xll.dnaDirectDouble(AD1)</f>
        <v>0</v>
      </c>
      <c r="AE6">
        <f>_xll.dnaDirectDouble(AE1)</f>
        <v>0</v>
      </c>
      <c r="AF6">
        <f>_xll.dnaDirectDouble(AF1)</f>
        <v>0</v>
      </c>
    </row>
    <row r="7" spans="1:32" x14ac:dyDescent="0.25">
      <c r="A7" t="s">
        <v>3</v>
      </c>
      <c r="B7">
        <f>_xll.dnaDirectInt32(B1)</f>
        <v>0</v>
      </c>
      <c r="C7">
        <f>_xll.dnaDirectInt32(C1)</f>
        <v>4</v>
      </c>
      <c r="D7" t="e">
        <f>_xll.dnaDirectInt32(D1)</f>
        <v>#VALUE!</v>
      </c>
      <c r="E7">
        <f>_xll.dnaDirectInt32(E1)</f>
        <v>29208</v>
      </c>
      <c r="F7">
        <f>_xll.dnaDirectInt32(F1)</f>
        <v>0</v>
      </c>
      <c r="G7">
        <f>_xll.dnaDirectInt32(G1)</f>
        <v>0</v>
      </c>
      <c r="H7">
        <f>_xll.dnaDirectInt32(H1)</f>
        <v>1</v>
      </c>
      <c r="I7">
        <f>_xll.dnaDirectInt32(I1)</f>
        <v>0</v>
      </c>
      <c r="J7">
        <f>_xll.dnaDirectInt32(J1)</f>
        <v>0</v>
      </c>
      <c r="K7">
        <f>_xll.dnaDirectInt32(K1)</f>
        <v>-1</v>
      </c>
      <c r="L7" t="e">
        <f>_xll.dnaDirectInt32(L1)</f>
        <v>#VALUE!</v>
      </c>
      <c r="M7">
        <f>_xll.dnaDirectInt32(M1)</f>
        <v>1</v>
      </c>
      <c r="N7">
        <f>_xll.dnaDirectInt32(N1)</f>
        <v>0</v>
      </c>
      <c r="O7" t="e">
        <f>_xll.dnaDirectInt32(O1)</f>
        <v>#VALUE!</v>
      </c>
      <c r="P7" t="e">
        <f>_xll.dnaDirectInt32(P1)</f>
        <v>#VALUE!</v>
      </c>
      <c r="Q7">
        <f>_xll.dnaDirectInt32(Q1)</f>
        <v>0</v>
      </c>
      <c r="R7">
        <f>_xll.dnaDirectInt32(R1)</f>
        <v>0</v>
      </c>
      <c r="S7">
        <f>_xll.dnaDirectInt32(S1)</f>
        <v>0</v>
      </c>
      <c r="T7">
        <f>_xll.dnaDirectInt32(T1)</f>
        <v>0</v>
      </c>
      <c r="U7">
        <f>_xll.dnaDirectInt32(U1)</f>
        <v>0</v>
      </c>
      <c r="V7">
        <f>_xll.dnaDirectInt32(V1)</f>
        <v>0</v>
      </c>
      <c r="W7">
        <f>_xll.dnaDirectInt32(W1)</f>
        <v>0</v>
      </c>
      <c r="X7">
        <f>_xll.dnaDirectInt32(X1)</f>
        <v>0</v>
      </c>
      <c r="Y7">
        <f>_xll.dnaDirectInt32(Y1)</f>
        <v>0</v>
      </c>
      <c r="Z7">
        <f>_xll.dnaDirectInt32(Z1)</f>
        <v>0</v>
      </c>
      <c r="AA7">
        <f>_xll.dnaDirectInt32(AA1)</f>
        <v>0</v>
      </c>
      <c r="AB7">
        <f>_xll.dnaDirectInt32(AB1)</f>
        <v>0</v>
      </c>
      <c r="AC7">
        <f>_xll.dnaDirectInt32(AC1)</f>
        <v>0</v>
      </c>
      <c r="AD7">
        <f>_xll.dnaDirectInt32(AD1)</f>
        <v>0</v>
      </c>
      <c r="AE7">
        <f>_xll.dnaDirectInt32(AE1)</f>
        <v>0</v>
      </c>
      <c r="AF7">
        <f>_xll.dnaDirectInt32(AF1)</f>
        <v>0</v>
      </c>
    </row>
    <row r="8" spans="1:32" x14ac:dyDescent="0.25">
      <c r="A8" t="s">
        <v>7</v>
      </c>
      <c r="B8">
        <f>_xll.dnaDirectInt64(B1)</f>
        <v>0</v>
      </c>
      <c r="C8">
        <f>_xll.dnaDirectInt64(C1)</f>
        <v>4</v>
      </c>
      <c r="D8" t="e">
        <f>_xll.dnaDirectInt64(D1)</f>
        <v>#VALUE!</v>
      </c>
      <c r="E8">
        <f>_xll.dnaDirectInt64(E1)</f>
        <v>29208</v>
      </c>
      <c r="F8">
        <f>_xll.dnaDirectInt64(F1)</f>
        <v>0</v>
      </c>
      <c r="G8">
        <f>_xll.dnaDirectInt64(G1)</f>
        <v>0</v>
      </c>
      <c r="H8">
        <f>_xll.dnaDirectInt64(H1)</f>
        <v>1</v>
      </c>
      <c r="I8">
        <f>_xll.dnaDirectInt64(I1)</f>
        <v>0</v>
      </c>
      <c r="J8">
        <f>_xll.dnaDirectInt64(J1)</f>
        <v>0</v>
      </c>
      <c r="K8">
        <f>_xll.dnaDirectInt64(K1)</f>
        <v>-1</v>
      </c>
      <c r="L8" t="e">
        <f>_xll.dnaDirectInt64(L1)</f>
        <v>#VALUE!</v>
      </c>
      <c r="M8">
        <f>_xll.dnaDirectInt64(M1)</f>
        <v>1</v>
      </c>
      <c r="N8">
        <f>_xll.dnaDirectInt64(N1)</f>
        <v>0</v>
      </c>
      <c r="O8" t="e">
        <f>_xll.dnaDirectInt64(O1)</f>
        <v>#VALUE!</v>
      </c>
      <c r="P8" t="e">
        <f>_xll.dnaDirectInt64(P1)</f>
        <v>#VALUE!</v>
      </c>
      <c r="Q8">
        <f>_xll.dnaDirectInt64(Q1)</f>
        <v>0</v>
      </c>
      <c r="R8">
        <f>_xll.dnaDirectInt64(R1)</f>
        <v>0</v>
      </c>
      <c r="S8">
        <f>_xll.dnaDirectInt64(S1)</f>
        <v>0</v>
      </c>
      <c r="T8">
        <f>_xll.dnaDirectInt64(T1)</f>
        <v>0</v>
      </c>
      <c r="U8">
        <f>_xll.dnaDirectInt64(U1)</f>
        <v>0</v>
      </c>
      <c r="V8">
        <f>_xll.dnaDirectInt64(V1)</f>
        <v>0</v>
      </c>
      <c r="W8">
        <f>_xll.dnaDirectInt64(W1)</f>
        <v>0</v>
      </c>
      <c r="X8">
        <f>_xll.dnaDirectInt64(X1)</f>
        <v>0</v>
      </c>
      <c r="Y8">
        <f>_xll.dnaDirectInt64(Y1)</f>
        <v>0</v>
      </c>
      <c r="Z8">
        <f>_xll.dnaDirectInt64(Z1)</f>
        <v>0</v>
      </c>
      <c r="AA8">
        <f>_xll.dnaDirectInt64(AA1)</f>
        <v>0</v>
      </c>
      <c r="AB8">
        <f>_xll.dnaDirectInt64(AB1)</f>
        <v>0</v>
      </c>
      <c r="AC8">
        <f>_xll.dnaDirectInt64(AC1)</f>
        <v>0</v>
      </c>
      <c r="AD8">
        <f>_xll.dnaDirectInt64(AD1)</f>
        <v>0</v>
      </c>
      <c r="AE8">
        <f>_xll.dnaDirectInt64(AE1)</f>
        <v>0</v>
      </c>
      <c r="AF8">
        <f>_xll.dnaDirectInt64(AF1)</f>
        <v>0</v>
      </c>
    </row>
    <row r="9" spans="1:32" x14ac:dyDescent="0.25">
      <c r="A9" t="s">
        <v>4</v>
      </c>
      <c r="B9">
        <f>_xll.dnaDirectDateTime(B1)</f>
        <v>0</v>
      </c>
      <c r="C9">
        <f>_xll.dnaDirectDateTime(C1)</f>
        <v>3.5</v>
      </c>
      <c r="D9" t="e">
        <f>_xll.dnaDirectDateTime(D1)</f>
        <v>#VALUE!</v>
      </c>
      <c r="E9">
        <f>_xll.dnaDirectDateTime(E1)</f>
        <v>29207.55</v>
      </c>
      <c r="F9">
        <f>_xll.dnaDirectDateTime(F1)</f>
        <v>1E-3</v>
      </c>
      <c r="G9">
        <f>_xll.dnaDirectDateTime(G1)</f>
        <v>0</v>
      </c>
      <c r="H9">
        <f>_xll.dnaDirectDateTime(H1)</f>
        <v>1</v>
      </c>
      <c r="I9">
        <f>_xll.dnaDirectDateTime(I1)</f>
        <v>1E-3</v>
      </c>
      <c r="J9">
        <f>_xll.dnaDirectDateTime(J1)</f>
        <v>1E-3</v>
      </c>
      <c r="K9">
        <f>_xll.dnaDirectDateTime(K1)</f>
        <v>-1</v>
      </c>
      <c r="L9" t="e">
        <f>_xll.dnaDirectDateTime(L1)</f>
        <v>#VALUE!</v>
      </c>
      <c r="M9">
        <f>_xll.dnaDirectDateTime(M1)</f>
        <v>1</v>
      </c>
      <c r="N9">
        <f>_xll.dnaDirectDateTime(N1)</f>
        <v>0</v>
      </c>
      <c r="O9" t="e">
        <f>_xll.dnaDirectDateTime(O1)</f>
        <v>#VALUE!</v>
      </c>
      <c r="P9" t="e">
        <f>_xll.dnaDirectDateTime(P1)</f>
        <v>#VALUE!</v>
      </c>
      <c r="Q9">
        <f>_xll.dnaDirectDateTime(Q1)</f>
        <v>0</v>
      </c>
      <c r="R9">
        <f>_xll.dnaDirectDateTime(R1)</f>
        <v>0</v>
      </c>
      <c r="S9">
        <f>_xll.dnaDirectDateTime(S1)</f>
        <v>0</v>
      </c>
      <c r="T9">
        <f>_xll.dnaDirectDateTime(T1)</f>
        <v>0</v>
      </c>
      <c r="U9">
        <f>_xll.dnaDirectDateTime(U1)</f>
        <v>0</v>
      </c>
      <c r="V9">
        <f>_xll.dnaDirectDateTime(V1)</f>
        <v>0</v>
      </c>
      <c r="W9">
        <f>_xll.dnaDirectDateTime(W1)</f>
        <v>0</v>
      </c>
      <c r="X9">
        <f>_xll.dnaDirectDateTime(X1)</f>
        <v>0</v>
      </c>
      <c r="Y9">
        <f>_xll.dnaDirectDateTime(Y1)</f>
        <v>0</v>
      </c>
      <c r="Z9">
        <f>_xll.dnaDirectDateTime(Z1)</f>
        <v>0</v>
      </c>
      <c r="AA9">
        <f>_xll.dnaDirectDateTime(AA1)</f>
        <v>0</v>
      </c>
      <c r="AB9">
        <f>_xll.dnaDirectDateTime(AB1)</f>
        <v>0</v>
      </c>
      <c r="AC9">
        <f>_xll.dnaDirectDateTime(AC1)</f>
        <v>0</v>
      </c>
      <c r="AD9">
        <f>_xll.dnaDirectDateTime(AD1)</f>
        <v>0</v>
      </c>
      <c r="AE9">
        <f>_xll.dnaDirectDateTime(AE1)</f>
        <v>0</v>
      </c>
      <c r="AF9">
        <f>_xll.dnaDirectDateTime(AF1)</f>
        <v>0</v>
      </c>
    </row>
    <row r="10" spans="1:32" x14ac:dyDescent="0.25">
      <c r="A10" t="s">
        <v>5</v>
      </c>
      <c r="B10" t="b">
        <f>_xll.dnaDirectBoolean(B1)</f>
        <v>0</v>
      </c>
      <c r="C10" t="b">
        <f>_xll.dnaDirectBoolean(C1)</f>
        <v>1</v>
      </c>
      <c r="D10" t="str">
        <f>_xll.dnaDirectBoolean(D1)</f>
        <v>!!! ERROR: System.NullReferenceException: Object reference not set to an instance of an object._x000D_
   at Wrapped_f18_Invoke(Object , Object )</v>
      </c>
      <c r="E10" t="b">
        <f>_xll.dnaDirectBoolean(E1)</f>
        <v>1</v>
      </c>
      <c r="F10" t="b">
        <f>_xll.dnaDirectBoolean(F1)</f>
        <v>1</v>
      </c>
      <c r="G10" t="b">
        <f>_xll.dnaDirectBoolean(G1)</f>
        <v>0</v>
      </c>
      <c r="H10" t="b">
        <f>_xll.dnaDirectBoolean(H1)</f>
        <v>1</v>
      </c>
      <c r="I10" t="b">
        <f>_xll.dnaDirectBoolean(I1)</f>
        <v>1</v>
      </c>
      <c r="J10" t="b">
        <f>_xll.dnaDirectBoolean(J1)</f>
        <v>1</v>
      </c>
      <c r="K10" t="b">
        <f>_xll.dnaDirectBoolean(K1)</f>
        <v>1</v>
      </c>
      <c r="L10" t="str">
        <f>_xll.dnaDirectBoolean(L1)</f>
        <v>!!! ERROR: System.NullReferenceException: Object reference not set to an instance of an object._x000D_
   at Wrapped_f18_Invoke(Object , Object )</v>
      </c>
      <c r="M10" t="b">
        <f>_xll.dnaDirectBoolean(M1)</f>
        <v>1</v>
      </c>
      <c r="N10" t="b">
        <f>_xll.dnaDirectBoolean(N1)</f>
        <v>0</v>
      </c>
      <c r="O10" t="b">
        <f>_xll.dnaDirectBoolean(O1)</f>
        <v>0</v>
      </c>
      <c r="P10" t="str">
        <f>_xll.dnaDirectBoolean(P1)</f>
        <v>!!! ERROR: System.NullReferenceException: Object reference not set to an instance of an object._x000D_
   at Wrapped_f18_Invoke(Object , Object )</v>
      </c>
      <c r="Q10" t="b">
        <f>_xll.dnaDirectBoolean(Q1)</f>
        <v>0</v>
      </c>
      <c r="R10" t="b">
        <f>_xll.dnaDirectBoolean(R1)</f>
        <v>0</v>
      </c>
      <c r="S10" t="b">
        <f>_xll.dnaDirectBoolean(S1)</f>
        <v>0</v>
      </c>
      <c r="T10" t="b">
        <f>_xll.dnaDirectBoolean(T1)</f>
        <v>0</v>
      </c>
      <c r="U10" t="b">
        <f>_xll.dnaDirectBoolean(U1)</f>
        <v>0</v>
      </c>
      <c r="V10" t="b">
        <f>_xll.dnaDirectBoolean(V1)</f>
        <v>0</v>
      </c>
      <c r="W10" t="b">
        <f>_xll.dnaDirectBoolean(W1)</f>
        <v>0</v>
      </c>
      <c r="X10" t="b">
        <f>_xll.dnaDirectBoolean(X1)</f>
        <v>0</v>
      </c>
      <c r="Y10" t="b">
        <f>_xll.dnaDirectBoolean(Y1)</f>
        <v>0</v>
      </c>
      <c r="Z10" t="b">
        <f>_xll.dnaDirectBoolean(Z1)</f>
        <v>0</v>
      </c>
      <c r="AA10" t="b">
        <f>_xll.dnaDirectBoolean(AA1)</f>
        <v>0</v>
      </c>
      <c r="AB10" t="b">
        <f>_xll.dnaDirectBoolean(AB1)</f>
        <v>0</v>
      </c>
      <c r="AC10" t="b">
        <f>_xll.dnaDirectBoolean(AC1)</f>
        <v>0</v>
      </c>
      <c r="AD10" t="b">
        <f>_xll.dnaDirectBoolean(AD1)</f>
        <v>0</v>
      </c>
      <c r="AE10" t="b">
        <f>_xll.dnaDirectBoolean(AE1)</f>
        <v>0</v>
      </c>
      <c r="AF10" t="b">
        <f>_xll.dnaDirectBoolean(AF1)</f>
        <v>0</v>
      </c>
    </row>
    <row r="12" spans="1:32" x14ac:dyDescent="0.25">
      <c r="A12" t="s">
        <v>1</v>
      </c>
      <c r="B12" t="str">
        <f>_xll.dnaConversionToString(B1)</f>
        <v/>
      </c>
      <c r="C12" t="str">
        <f>_xll.dnaConversionToString(C1)</f>
        <v>3.5</v>
      </c>
      <c r="D12" t="str">
        <f>_xll.dnaConversionToString(D1)</f>
        <v>Hello There!</v>
      </c>
      <c r="E12" t="str">
        <f>_xll.dnaConversionToString(E1)</f>
        <v>29207.55</v>
      </c>
      <c r="F12" t="str">
        <f>_xll.dnaConversionToString(F1)</f>
        <v>0.001</v>
      </c>
      <c r="G12" t="str">
        <f>_xll.dnaConversionToString(G1)</f>
        <v>0</v>
      </c>
      <c r="H12" t="str">
        <f>_xll.dnaConversionToString(H1)</f>
        <v>1</v>
      </c>
      <c r="I12" t="str">
        <f>_xll.dnaConversionToString(I1)</f>
        <v>0.001</v>
      </c>
      <c r="J12" t="str">
        <f>_xll.dnaConversionToString(J1)</f>
        <v>-0.001</v>
      </c>
      <c r="K12" t="str">
        <f>_xll.dnaConversionToString(K1)</f>
        <v>-1</v>
      </c>
      <c r="L12" t="str">
        <f>_xll.dnaConversionToString(L1)</f>
        <v>"True"</v>
      </c>
      <c r="M12" t="str">
        <f>_xll.dnaConversionToString(M1)</f>
        <v>TRUE</v>
      </c>
      <c r="N12" t="str">
        <f>_xll.dnaConversionToString(N1)</f>
        <v>FALSE</v>
      </c>
      <c r="O12" t="str">
        <f>_xll.dnaConversionToString(O1)</f>
        <v>FALSE</v>
      </c>
      <c r="P12" t="str">
        <f>_xll.dnaConversionToString(P1)</f>
        <v>T</v>
      </c>
      <c r="Q12" t="str">
        <f>_xll.dnaConversionToString(Q1)</f>
        <v/>
      </c>
      <c r="R12" t="str">
        <f>_xll.dnaConversionToString(R1)</f>
        <v/>
      </c>
      <c r="S12" t="str">
        <f>_xll.dnaConversionToString(S1)</f>
        <v/>
      </c>
      <c r="T12" t="str">
        <f>_xll.dnaConversionToString(T1)</f>
        <v/>
      </c>
      <c r="U12" t="str">
        <f>_xll.dnaConversionToString(U1)</f>
        <v/>
      </c>
      <c r="V12" t="str">
        <f>_xll.dnaConversionToString(V1)</f>
        <v/>
      </c>
      <c r="W12" t="str">
        <f>_xll.dnaConversionToString(W1)</f>
        <v/>
      </c>
      <c r="X12" t="str">
        <f>_xll.dnaConversionToString(X1)</f>
        <v/>
      </c>
      <c r="Y12" t="str">
        <f>_xll.dnaConversionToString(Y1)</f>
        <v/>
      </c>
      <c r="Z12" t="str">
        <f>_xll.dnaConversionToString(Z1)</f>
        <v/>
      </c>
      <c r="AA12" t="str">
        <f>_xll.dnaConversionToString(AA1)</f>
        <v/>
      </c>
      <c r="AB12" t="str">
        <f>_xll.dnaConversionToString(AB1)</f>
        <v/>
      </c>
      <c r="AC12" t="str">
        <f>_xll.dnaConversionToString(AC1)</f>
        <v/>
      </c>
      <c r="AD12" t="str">
        <f>_xll.dnaConversionToString(AD1)</f>
        <v/>
      </c>
      <c r="AE12" t="str">
        <f>_xll.dnaConversionToString(AE1)</f>
        <v/>
      </c>
      <c r="AF12" t="str">
        <f>_xll.dnaConversionToString(AF1)</f>
        <v/>
      </c>
    </row>
    <row r="13" spans="1:32" x14ac:dyDescent="0.25">
      <c r="A13" t="s">
        <v>2</v>
      </c>
      <c r="B13">
        <f>_xll.dnaConversionToDouble(B1)</f>
        <v>0</v>
      </c>
      <c r="C13">
        <f>_xll.dnaConversionToDouble(C1)</f>
        <v>3.5</v>
      </c>
      <c r="D13" t="str">
        <f>_xll.dnaConversionToDouble(D1)</f>
        <v>!!! ERROR: ExcelDna.Integration.XlCallException: Exception of type 'ExcelDna.Integration.XlCallException' was thrown._x000D_
   at ExcelDna.Integration.XlCall.Excel(Int32 xlFunction, Object[] parameters)_x000D_
   at ExcelDna.CustomRegistration.Example.ParameterConversionExamples.dnaConversionToDouble(Object arg) in c:\Work\ExcelDna\CustomRegistration\Source\ExcelDna.CustomRegistration.Example\ParameterConversionExamples.cs:line 69_x000D_
   at lambda_method(Closure , Object )_x000D_
   at Wrapped_f9_Invoke(Object , Object )</v>
      </c>
      <c r="E13">
        <f>_xll.dnaConversionToDouble(E1)</f>
        <v>29207.55</v>
      </c>
      <c r="F13">
        <f>_xll.dnaConversionToDouble(F1)</f>
        <v>1E-3</v>
      </c>
      <c r="G13">
        <f>_xll.dnaConversionToDouble(G1)</f>
        <v>0</v>
      </c>
      <c r="H13">
        <f>_xll.dnaConversionToDouble(H1)</f>
        <v>1</v>
      </c>
      <c r="I13">
        <f>_xll.dnaConversionToDouble(I1)</f>
        <v>1E-3</v>
      </c>
      <c r="J13">
        <f>_xll.dnaConversionToDouble(J1)</f>
        <v>-1E-3</v>
      </c>
      <c r="K13">
        <f>_xll.dnaConversionToDouble(K1)</f>
        <v>-1</v>
      </c>
      <c r="L13" t="str">
        <f>_xll.dnaConversionToDouble(L1)</f>
        <v>!!! ERROR: ExcelDna.Integration.XlCallException: Exception of type 'ExcelDna.Integration.XlCallException' was thrown._x000D_
   at ExcelDna.Integration.XlCall.Excel(Int32 xlFunction, Object[] parameters)_x000D_
   at ExcelDna.CustomRegistration.Example.ParameterConversionExamples.dnaConversionToDouble(Object arg) in c:\Work\ExcelDna\CustomRegistration\Source\ExcelDna.CustomRegistration.Example\ParameterConversionExamples.cs:line 69_x000D_
   at lambda_method(Closure , Object )_x000D_
   at Wrapped_f9_Invoke(Object , Object )</v>
      </c>
      <c r="M13">
        <f>_xll.dnaConversionToDouble(M1)</f>
        <v>1</v>
      </c>
      <c r="N13">
        <f>_xll.dnaConversionToDouble(N1)</f>
        <v>0</v>
      </c>
      <c r="O13" t="str">
        <f>_xll.dnaConversionToDouble(O1)</f>
        <v>!!! ERROR: ExcelDna.Integration.XlCallException: Exception of type 'ExcelDna.Integration.XlCallException' was thrown._x000D_
   at ExcelDna.Integration.XlCall.Excel(Int32 xlFunction, Object[] parameters)_x000D_
   at ExcelDna.CustomRegistration.Example.ParameterConversionExamples.dnaConversionToDouble(Object arg) in c:\Work\ExcelDna\CustomRegistration\Source\ExcelDna.CustomRegistration.Example\ParameterConversionExamples.cs:line 69_x000D_
   at lambda_method(Closure , Object )_x000D_
   at Wrapped_f9_Invoke(Object , Object )</v>
      </c>
      <c r="P13" t="str">
        <f>_xll.dnaConversionToDouble(P1)</f>
        <v>!!! ERROR: ExcelDna.Integration.XlCallException: Exception of type 'ExcelDna.Integration.XlCallException' was thrown._x000D_
   at ExcelDna.Integration.XlCall.Excel(Int32 xlFunction, Object[] parameters)_x000D_
   at ExcelDna.CustomRegistration.Example.ParameterConversionExamples.dnaConversionToDouble(Object arg) in c:\Work\ExcelDna\CustomRegistration\Source\ExcelDna.CustomRegistration.Example\ParameterConversionExamples.cs:line 69_x000D_
   at lambda_method(Closure , Object )_x000D_
   at Wrapped_f9_Invoke(Object , Object )</v>
      </c>
      <c r="Q13">
        <f>_xll.dnaConversionToDouble(Q1)</f>
        <v>0</v>
      </c>
      <c r="R13">
        <f>_xll.dnaConversionToDouble(R1)</f>
        <v>0</v>
      </c>
      <c r="S13">
        <f>_xll.dnaConversionToDouble(S1)</f>
        <v>0</v>
      </c>
      <c r="T13">
        <f>_xll.dnaConversionToDouble(T1)</f>
        <v>0</v>
      </c>
      <c r="U13">
        <f>_xll.dnaConversionToDouble(U1)</f>
        <v>0</v>
      </c>
      <c r="V13">
        <f>_xll.dnaConversionToDouble(V1)</f>
        <v>0</v>
      </c>
      <c r="W13">
        <f>_xll.dnaConversionToDouble(W1)</f>
        <v>0</v>
      </c>
      <c r="X13">
        <f>_xll.dnaConversionToDouble(X1)</f>
        <v>0</v>
      </c>
      <c r="Y13">
        <f>_xll.dnaConversionToDouble(Y1)</f>
        <v>0</v>
      </c>
      <c r="Z13">
        <f>_xll.dnaConversionToDouble(Z1)</f>
        <v>0</v>
      </c>
      <c r="AA13">
        <f>_xll.dnaConversionToDouble(AA1)</f>
        <v>0</v>
      </c>
      <c r="AB13">
        <f>_xll.dnaConversionToDouble(AB1)</f>
        <v>0</v>
      </c>
      <c r="AC13">
        <f>_xll.dnaConversionToDouble(AC1)</f>
        <v>0</v>
      </c>
      <c r="AD13">
        <f>_xll.dnaConversionToDouble(AD1)</f>
        <v>0</v>
      </c>
      <c r="AE13">
        <f>_xll.dnaConversionToDouble(AE1)</f>
        <v>0</v>
      </c>
      <c r="AF13">
        <f>_xll.dnaConversionToDouble(AF1)</f>
        <v>0</v>
      </c>
    </row>
    <row r="14" spans="1:32" x14ac:dyDescent="0.25">
      <c r="A14" t="s">
        <v>3</v>
      </c>
      <c r="B14">
        <f>_xll.dnaConversionToInt32(B1)</f>
        <v>0</v>
      </c>
      <c r="C14">
        <f>_xll.dnaConversionToInt32(C1)</f>
        <v>4</v>
      </c>
      <c r="D14" t="str">
        <f>_xll.dnaConversionToInt32(D1)</f>
        <v>!!! ERROR: ExcelDna.Integration.XlCallException: Exception of type 'ExcelDna.Integration.XlCallException' was thrown._x000D_
   at ExcelDna.Integration.XlCall.Excel(Int32 xlFunction, Object[] parameters)_x000D_
   at ExcelDna.CustomRegistration.Example.ParameterConversionExamples.dnaConversionToInt32(Object arg) in c:\Work\ExcelDna\CustomRegistration\Source\ExcelDna.CustomRegistration.Example\ParameterConversionExamples.cs:line 83_x000D_
   at lambda_method(Closure , Object )_x000D_
   at Wrapped_f11_Invoke(Object , Object )</v>
      </c>
      <c r="E14">
        <f>_xll.dnaConversionToInt32(E1)</f>
        <v>29208</v>
      </c>
      <c r="F14">
        <f>_xll.dnaConversionToInt32(F1)</f>
        <v>0</v>
      </c>
      <c r="G14">
        <f>_xll.dnaConversionToInt32(G1)</f>
        <v>0</v>
      </c>
      <c r="H14">
        <f>_xll.dnaConversionToInt32(H1)</f>
        <v>1</v>
      </c>
      <c r="I14">
        <f>_xll.dnaConversionToInt32(I1)</f>
        <v>0</v>
      </c>
      <c r="J14">
        <f>_xll.dnaConversionToInt32(J1)</f>
        <v>0</v>
      </c>
      <c r="K14">
        <f>_xll.dnaConversionToInt32(K1)</f>
        <v>-1</v>
      </c>
      <c r="L14" t="str">
        <f>_xll.dnaConversionToInt32(L1)</f>
        <v>!!! ERROR: ExcelDna.Integration.XlCallException: Exception of type 'ExcelDna.Integration.XlCallException' was thrown._x000D_
   at ExcelDna.Integration.XlCall.Excel(Int32 xlFunction, Object[] parameters)_x000D_
   at ExcelDna.CustomRegistration.Example.ParameterConversionExamples.dnaConversionToInt32(Object arg) in c:\Work\ExcelDna\CustomRegistration\Source\ExcelDna.CustomRegistration.Example\ParameterConversionExamples.cs:line 83_x000D_
   at lambda_method(Closure , Object )_x000D_
   at Wrapped_f11_Invoke(Object , Object )</v>
      </c>
      <c r="M14">
        <f>_xll.dnaConversionToInt32(M1)</f>
        <v>1</v>
      </c>
      <c r="N14">
        <f>_xll.dnaConversionToInt32(N1)</f>
        <v>0</v>
      </c>
      <c r="O14" t="str">
        <f>_xll.dnaConversionToInt32(O1)</f>
        <v>!!! ERROR: ExcelDna.Integration.XlCallException: Exception of type 'ExcelDna.Integration.XlCallException' was thrown._x000D_
   at ExcelDna.Integration.XlCall.Excel(Int32 xlFunction, Object[] parameters)_x000D_
   at ExcelDna.CustomRegistration.Example.ParameterConversionExamples.dnaConversionToInt32(Object arg) in c:\Work\ExcelDna\CustomRegistration\Source\ExcelDna.CustomRegistration.Example\ParameterConversionExamples.cs:line 83_x000D_
   at lambda_method(Closure , Object )_x000D_
   at Wrapped_f11_Invoke(Object , Object )</v>
      </c>
      <c r="P14" t="str">
        <f>_xll.dnaConversionToInt32(P1)</f>
        <v>!!! ERROR: ExcelDna.Integration.XlCallException: Exception of type 'ExcelDna.Integration.XlCallException' was thrown._x000D_
   at ExcelDna.Integration.XlCall.Excel(Int32 xlFunction, Object[] parameters)_x000D_
   at ExcelDna.CustomRegistration.Example.ParameterConversionExamples.dnaConversionToInt32(Object arg) in c:\Work\ExcelDna\CustomRegistration\Source\ExcelDna.CustomRegistration.Example\ParameterConversionExamples.cs:line 83_x000D_
   at lambda_method(Closure , Object )_x000D_
   at Wrapped_f11_Invoke(Object , Object )</v>
      </c>
      <c r="Q14">
        <f>_xll.dnaConversionToInt32(Q1)</f>
        <v>0</v>
      </c>
      <c r="R14">
        <f>_xll.dnaConversionToInt32(R1)</f>
        <v>0</v>
      </c>
      <c r="S14">
        <f>_xll.dnaConversionToInt32(S1)</f>
        <v>0</v>
      </c>
      <c r="T14">
        <f>_xll.dnaConversionToInt32(T1)</f>
        <v>0</v>
      </c>
      <c r="U14">
        <f>_xll.dnaConversionToInt32(U1)</f>
        <v>0</v>
      </c>
      <c r="V14">
        <f>_xll.dnaConversionToInt32(V1)</f>
        <v>0</v>
      </c>
      <c r="W14">
        <f>_xll.dnaConversionToInt32(W1)</f>
        <v>0</v>
      </c>
      <c r="X14">
        <f>_xll.dnaConversionToInt32(X1)</f>
        <v>0</v>
      </c>
      <c r="Y14">
        <f>_xll.dnaConversionToInt32(Y1)</f>
        <v>0</v>
      </c>
      <c r="Z14">
        <f>_xll.dnaConversionToInt32(Z1)</f>
        <v>0</v>
      </c>
      <c r="AA14">
        <f>_xll.dnaConversionToInt32(AA1)</f>
        <v>0</v>
      </c>
      <c r="AB14">
        <f>_xll.dnaConversionToInt32(AB1)</f>
        <v>0</v>
      </c>
      <c r="AC14">
        <f>_xll.dnaConversionToInt32(AC1)</f>
        <v>0</v>
      </c>
      <c r="AD14">
        <f>_xll.dnaConversionToInt32(AD1)</f>
        <v>0</v>
      </c>
      <c r="AE14">
        <f>_xll.dnaConversionToInt32(AE1)</f>
        <v>0</v>
      </c>
      <c r="AF14">
        <f>_xll.dnaConversionToInt32(AF1)</f>
        <v>0</v>
      </c>
    </row>
    <row r="15" spans="1:32" x14ac:dyDescent="0.25">
      <c r="A15" t="s">
        <v>7</v>
      </c>
      <c r="B15">
        <f>_xll.dnaConversionToInt64(B1)</f>
        <v>0</v>
      </c>
      <c r="C15">
        <f>_xll.dnaConversionToInt64(C1)</f>
        <v>4</v>
      </c>
      <c r="D15" t="str">
        <f>_xll.dnaConversionToInt64(D1)</f>
        <v>!!! ERROR: ExcelDna.Integration.XlCallException: Exception of type 'ExcelDna.Integration.XlCallException' was thrown._x000D_
   at ExcelDna.Integration.XlCall.Excel(Int32 xlFunction, Object[] parameters)_x000D_
   at ExcelDna.CustomRegistration.Example.ParameterConversionExamples.dnaConversionToInt64(Object arg) in c:\Work\ExcelDna\CustomRegistration\Source\ExcelDna.CustomRegistration.Example\ParameterConversionExamples.cs:line 97_x000D_
   at lambda_method(Closure , Object )_x000D_
   at Wrapped_f13_Invoke(Object , Object )</v>
      </c>
      <c r="E15">
        <f>_xll.dnaConversionToInt64(E1)</f>
        <v>29208</v>
      </c>
      <c r="F15">
        <f>_xll.dnaConversionToInt64(F1)</f>
        <v>0</v>
      </c>
      <c r="G15">
        <f>_xll.dnaConversionToInt64(G1)</f>
        <v>0</v>
      </c>
      <c r="H15">
        <f>_xll.dnaConversionToInt64(H1)</f>
        <v>1</v>
      </c>
      <c r="I15">
        <f>_xll.dnaConversionToInt64(I1)</f>
        <v>0</v>
      </c>
      <c r="J15">
        <f>_xll.dnaConversionToInt64(J1)</f>
        <v>0</v>
      </c>
      <c r="K15">
        <f>_xll.dnaConversionToInt64(K1)</f>
        <v>-1</v>
      </c>
      <c r="L15" t="str">
        <f>_xll.dnaConversionToInt64(L1)</f>
        <v>!!! ERROR: ExcelDna.Integration.XlCallException: Exception of type 'ExcelDna.Integration.XlCallException' was thrown._x000D_
   at ExcelDna.Integration.XlCall.Excel(Int32 xlFunction, Object[] parameters)_x000D_
   at ExcelDna.CustomRegistration.Example.ParameterConversionExamples.dnaConversionToInt64(Object arg) in c:\Work\ExcelDna\CustomRegistration\Source\ExcelDna.CustomRegistration.Example\ParameterConversionExamples.cs:line 97_x000D_
   at lambda_method(Closure , Object )_x000D_
   at Wrapped_f13_Invoke(Object , Object )</v>
      </c>
      <c r="M15">
        <f>_xll.dnaConversionToInt64(M1)</f>
        <v>1</v>
      </c>
      <c r="N15">
        <f>_xll.dnaConversionToInt64(N1)</f>
        <v>0</v>
      </c>
      <c r="O15" t="str">
        <f>_xll.dnaConversionToInt64(O1)</f>
        <v>!!! ERROR: ExcelDna.Integration.XlCallException: Exception of type 'ExcelDna.Integration.XlCallException' was thrown._x000D_
   at ExcelDna.Integration.XlCall.Excel(Int32 xlFunction, Object[] parameters)_x000D_
   at ExcelDna.CustomRegistration.Example.ParameterConversionExamples.dnaConversionToInt64(Object arg) in c:\Work\ExcelDna\CustomRegistration\Source\ExcelDna.CustomRegistration.Example\ParameterConversionExamples.cs:line 97_x000D_
   at lambda_method(Closure , Object )_x000D_
   at Wrapped_f13_Invoke(Object , Object )</v>
      </c>
      <c r="P15" t="str">
        <f>_xll.dnaConversionToInt64(P1)</f>
        <v>!!! ERROR: ExcelDna.Integration.XlCallException: Exception of type 'ExcelDna.Integration.XlCallException' was thrown._x000D_
   at ExcelDna.Integration.XlCall.Excel(Int32 xlFunction, Object[] parameters)_x000D_
   at ExcelDna.CustomRegistration.Example.ParameterConversionExamples.dnaConversionToInt64(Object arg) in c:\Work\ExcelDna\CustomRegistration\Source\ExcelDna.CustomRegistration.Example\ParameterConversionExamples.cs:line 97_x000D_
   at lambda_method(Closure , Object )_x000D_
   at Wrapped_f13_Invoke(Object , Object )</v>
      </c>
      <c r="Q15">
        <f>_xll.dnaConversionToInt64(Q1)</f>
        <v>0</v>
      </c>
      <c r="R15">
        <f>_xll.dnaConversionToInt64(R1)</f>
        <v>0</v>
      </c>
      <c r="S15">
        <f>_xll.dnaConversionToInt64(S1)</f>
        <v>0</v>
      </c>
      <c r="T15">
        <f>_xll.dnaConversionToInt64(T1)</f>
        <v>0</v>
      </c>
      <c r="U15">
        <f>_xll.dnaConversionToInt64(U1)</f>
        <v>0</v>
      </c>
      <c r="V15">
        <f>_xll.dnaConversionToInt64(V1)</f>
        <v>0</v>
      </c>
      <c r="W15">
        <f>_xll.dnaConversionToInt64(W1)</f>
        <v>0</v>
      </c>
      <c r="X15">
        <f>_xll.dnaConversionToInt64(X1)</f>
        <v>0</v>
      </c>
      <c r="Y15">
        <f>_xll.dnaConversionToInt64(Y1)</f>
        <v>0</v>
      </c>
      <c r="Z15">
        <f>_xll.dnaConversionToInt64(Z1)</f>
        <v>0</v>
      </c>
      <c r="AA15">
        <f>_xll.dnaConversionToInt64(AA1)</f>
        <v>0</v>
      </c>
      <c r="AB15">
        <f>_xll.dnaConversionToInt64(AB1)</f>
        <v>0</v>
      </c>
      <c r="AC15">
        <f>_xll.dnaConversionToInt64(AC1)</f>
        <v>0</v>
      </c>
      <c r="AD15">
        <f>_xll.dnaConversionToInt64(AD1)</f>
        <v>0</v>
      </c>
      <c r="AE15">
        <f>_xll.dnaConversionToInt64(AE1)</f>
        <v>0</v>
      </c>
      <c r="AF15">
        <f>_xll.dnaConversionToInt64(AF1)</f>
        <v>0</v>
      </c>
    </row>
    <row r="16" spans="1:32" x14ac:dyDescent="0.25">
      <c r="A16" t="s">
        <v>4</v>
      </c>
      <c r="B16">
        <f>_xll.dnaConversionToDateTime(B1)</f>
        <v>0</v>
      </c>
      <c r="C16">
        <f>_xll.dnaConversionToDateTime(C1)</f>
        <v>3.5</v>
      </c>
      <c r="D16" t="str">
        <f>_xll.dnaConversionToDateTime(D1)</f>
        <v>!!! ERROR: ExcelDna.Integration.XlCallException: Exception of type 'ExcelDna.Integration.XlCallException' was thrown._x000D_
   at ExcelDna.Integration.XlCall.Excel(Int32 xlFunction, Object[] parameters)_x000D_
   at ExcelDna.CustomRegistration.Example.ParameterConversionExamples.dnaConversionToDateTime(Object arg) in c:\Work\ExcelDna\CustomRegistration\Source\ExcelDna.CustomRegistration.Example\ParameterConversionExamples.cs:line 110_x000D_
   at lambda_method(Closure , Object )_x000D_
   at Wrapped_f15_Invoke(Object , Object )</v>
      </c>
      <c r="E16">
        <f>_xll.dnaConversionToDateTime(E1)</f>
        <v>29207.55</v>
      </c>
      <c r="F16">
        <f>_xll.dnaConversionToDateTime(F1)</f>
        <v>1E-3</v>
      </c>
      <c r="G16">
        <f>_xll.dnaConversionToDateTime(G1)</f>
        <v>0</v>
      </c>
      <c r="H16">
        <f>_xll.dnaConversionToDateTime(H1)</f>
        <v>1</v>
      </c>
      <c r="I16">
        <f>_xll.dnaConversionToDateTime(I1)</f>
        <v>1E-3</v>
      </c>
      <c r="J16">
        <f>_xll.dnaConversionToDateTime(J1)</f>
        <v>1E-3</v>
      </c>
      <c r="K16">
        <f>_xll.dnaConversionToDateTime(K1)</f>
        <v>-1</v>
      </c>
      <c r="L16" t="str">
        <f>_xll.dnaConversionToDateTime(L1)</f>
        <v>!!! ERROR: ExcelDna.Integration.XlCallException: Exception of type 'ExcelDna.Integration.XlCallException' was thrown._x000D_
   at ExcelDna.Integration.XlCall.Excel(Int32 xlFunction, Object[] parameters)_x000D_
   at ExcelDna.CustomRegistration.Example.ParameterConversionExamples.dnaConversionToDateTime(Object arg) in c:\Work\ExcelDna\CustomRegistration\Source\ExcelDna.CustomRegistration.Example\ParameterConversionExamples.cs:line 110_x000D_
   at lambda_method(Closure , Object )_x000D_
   at Wrapped_f15_Invoke(Object , Object )</v>
      </c>
      <c r="M16">
        <f>_xll.dnaConversionToDateTime(M1)</f>
        <v>1</v>
      </c>
      <c r="N16">
        <f>_xll.dnaConversionToDateTime(N1)</f>
        <v>0</v>
      </c>
      <c r="O16" t="str">
        <f>_xll.dnaConversionToDateTime(O1)</f>
        <v>!!! ERROR: ExcelDna.Integration.XlCallException: Exception of type 'ExcelDna.Integration.XlCallException' was thrown._x000D_
   at ExcelDna.Integration.XlCall.Excel(Int32 xlFunction, Object[] parameters)_x000D_
   at ExcelDna.CustomRegistration.Example.ParameterConversionExamples.dnaConversionToDateTime(Object arg) in c:\Work\ExcelDna\CustomRegistration\Source\ExcelDna.CustomRegistration.Example\ParameterConversionExamples.cs:line 110_x000D_
   at lambda_method(Closure , Object )_x000D_
   at Wrapped_f15_Invoke(Object , Object )</v>
      </c>
      <c r="P16" t="str">
        <f>_xll.dnaConversionToDateTime(P1)</f>
        <v>!!! ERROR: ExcelDna.Integration.XlCallException: Exception of type 'ExcelDna.Integration.XlCallException' was thrown._x000D_
   at ExcelDna.Integration.XlCall.Excel(Int32 xlFunction, Object[] parameters)_x000D_
   at ExcelDna.CustomRegistration.Example.ParameterConversionExamples.dnaConversionToDateTime(Object arg) in c:\Work\ExcelDna\CustomRegistration\Source\ExcelDna.CustomRegistration.Example\ParameterConversionExamples.cs:line 110_x000D_
   at lambda_method(Closure , Object )_x000D_
   at Wrapped_f15_Invoke(Object , Object )</v>
      </c>
      <c r="Q16">
        <f>_xll.dnaConversionToDateTime(Q1)</f>
        <v>0</v>
      </c>
      <c r="R16">
        <f>_xll.dnaConversionToDateTime(R1)</f>
        <v>0</v>
      </c>
      <c r="S16">
        <f>_xll.dnaConversionToDateTime(S1)</f>
        <v>0</v>
      </c>
      <c r="T16">
        <f>_xll.dnaConversionToDateTime(T1)</f>
        <v>0</v>
      </c>
      <c r="U16">
        <f>_xll.dnaConversionToDateTime(U1)</f>
        <v>0</v>
      </c>
      <c r="V16">
        <f>_xll.dnaConversionToDateTime(V1)</f>
        <v>0</v>
      </c>
      <c r="W16">
        <f>_xll.dnaConversionToDateTime(W1)</f>
        <v>0</v>
      </c>
      <c r="X16">
        <f>_xll.dnaConversionToDateTime(X1)</f>
        <v>0</v>
      </c>
      <c r="Y16">
        <f>_xll.dnaConversionToDateTime(Y1)</f>
        <v>0</v>
      </c>
      <c r="Z16">
        <f>_xll.dnaConversionToDateTime(Z1)</f>
        <v>0</v>
      </c>
      <c r="AA16">
        <f>_xll.dnaConversionToDateTime(AA1)</f>
        <v>0</v>
      </c>
      <c r="AB16">
        <f>_xll.dnaConversionToDateTime(AB1)</f>
        <v>0</v>
      </c>
      <c r="AC16">
        <f>_xll.dnaConversionToDateTime(AC1)</f>
        <v>0</v>
      </c>
      <c r="AD16">
        <f>_xll.dnaConversionToDateTime(AD1)</f>
        <v>0</v>
      </c>
      <c r="AE16">
        <f>_xll.dnaConversionToDateTime(AE1)</f>
        <v>0</v>
      </c>
      <c r="AF16">
        <f>_xll.dnaConversionToDateTime(AF1)</f>
        <v>0</v>
      </c>
    </row>
    <row r="17" spans="1:32" x14ac:dyDescent="0.25">
      <c r="A17" t="s">
        <v>5</v>
      </c>
      <c r="B17" t="b">
        <f>_xll.dnaConversionToBoolean(B1)</f>
        <v>0</v>
      </c>
      <c r="C17" t="b">
        <f>_xll.dnaConversionToBoolean(C1)</f>
        <v>1</v>
      </c>
      <c r="D17" t="str">
        <f>_xll.dnaConversionToBoolean(D1)</f>
        <v>!!! ERROR: ExcelDna.Integration.XlCallException: Exception of type 'ExcelDna.Integration.XlCallException' was thrown._x000D_
   at ExcelDna.Integration.XlCall.Excel(Int32 xlFunction, Object[] parameters)_x000D_
   at ExcelDna.CustomRegistration.Example.ParameterConversionExamples.dnaConversionToBoolean(Object arg) in c:\Work\ExcelDna\CustomRegistration\Source\ExcelDna.CustomRegistration.Example\ParameterConversionExamples.cs:line 123_x000D_
   at lambda_method(Closure , Object )_x000D_
   at Wrapped_f17_Invoke(Object , Object )</v>
      </c>
      <c r="E17" t="b">
        <f>_xll.dnaConversionToBoolean(E1)</f>
        <v>1</v>
      </c>
      <c r="F17" t="b">
        <f>_xll.dnaConversionToBoolean(F1)</f>
        <v>1</v>
      </c>
      <c r="G17" t="b">
        <f>_xll.dnaConversionToBoolean(G1)</f>
        <v>0</v>
      </c>
      <c r="H17" t="b">
        <f>_xll.dnaConversionToBoolean(H1)</f>
        <v>1</v>
      </c>
      <c r="I17" t="b">
        <f>_xll.dnaConversionToBoolean(I1)</f>
        <v>1</v>
      </c>
      <c r="J17" t="b">
        <f>_xll.dnaConversionToBoolean(J1)</f>
        <v>1</v>
      </c>
      <c r="K17" t="b">
        <f>_xll.dnaConversionToBoolean(K1)</f>
        <v>1</v>
      </c>
      <c r="L17" t="str">
        <f>_xll.dnaConversionToBoolean(L1)</f>
        <v>!!! ERROR: ExcelDna.Integration.XlCallException: Exception of type 'ExcelDna.Integration.XlCallException' was thrown._x000D_
   at ExcelDna.Integration.XlCall.Excel(Int32 xlFunction, Object[] parameters)_x000D_
   at ExcelDna.CustomRegistration.Example.ParameterConversionExamples.dnaConversionToBoolean(Object arg) in c:\Work\ExcelDna\CustomRegistration\Source\ExcelDna.CustomRegistration.Example\ParameterConversionExamples.cs:line 123_x000D_
   at lambda_method(Closure , Object )_x000D_
   at Wrapped_f17_Invoke(Object , Object )</v>
      </c>
      <c r="M17" t="b">
        <f>_xll.dnaConversionToBoolean(M1)</f>
        <v>1</v>
      </c>
      <c r="N17" t="b">
        <f>_xll.dnaConversionToBoolean(N1)</f>
        <v>0</v>
      </c>
      <c r="O17" t="b">
        <f>_xll.dnaConversionToBoolean(O1)</f>
        <v>0</v>
      </c>
      <c r="P17" t="str">
        <f>_xll.dnaConversionToBoolean(P1)</f>
        <v>!!! ERROR: ExcelDna.Integration.XlCallException: Exception of type 'ExcelDna.Integration.XlCallException' was thrown._x000D_
   at ExcelDna.Integration.XlCall.Excel(Int32 xlFunction, Object[] parameters)_x000D_
   at ExcelDna.CustomRegistration.Example.ParameterConversionExamples.dnaConversionToBoolean(Object arg) in c:\Work\ExcelDna\CustomRegistration\Source\ExcelDna.CustomRegistration.Example\ParameterConversionExamples.cs:line 123_x000D_
   at lambda_method(Closure , Object )_x000D_
   at Wrapped_f17_Invoke(Object , Object )</v>
      </c>
      <c r="Q17" t="b">
        <f>_xll.dnaConversionToBoolean(Q1)</f>
        <v>0</v>
      </c>
      <c r="R17" t="b">
        <f>_xll.dnaConversionToBoolean(R1)</f>
        <v>0</v>
      </c>
      <c r="S17" t="b">
        <f>_xll.dnaConversionToBoolean(S1)</f>
        <v>0</v>
      </c>
      <c r="T17" t="b">
        <f>_xll.dnaConversionToBoolean(T1)</f>
        <v>0</v>
      </c>
      <c r="U17" t="b">
        <f>_xll.dnaConversionToBoolean(U1)</f>
        <v>0</v>
      </c>
      <c r="V17" t="b">
        <f>_xll.dnaConversionToBoolean(V1)</f>
        <v>0</v>
      </c>
      <c r="W17" t="b">
        <f>_xll.dnaConversionToBoolean(W1)</f>
        <v>0</v>
      </c>
      <c r="X17" t="b">
        <f>_xll.dnaConversionToBoolean(X1)</f>
        <v>0</v>
      </c>
      <c r="Y17" t="b">
        <f>_xll.dnaConversionToBoolean(Y1)</f>
        <v>0</v>
      </c>
      <c r="Z17" t="b">
        <f>_xll.dnaConversionToBoolean(Z1)</f>
        <v>0</v>
      </c>
      <c r="AA17" t="b">
        <f>_xll.dnaConversionToBoolean(AA1)</f>
        <v>0</v>
      </c>
      <c r="AB17" t="b">
        <f>_xll.dnaConversionToBoolean(AB1)</f>
        <v>0</v>
      </c>
      <c r="AC17" t="b">
        <f>_xll.dnaConversionToBoolean(AC1)</f>
        <v>0</v>
      </c>
      <c r="AD17" t="b">
        <f>_xll.dnaConversionToBoolean(AD1)</f>
        <v>0</v>
      </c>
      <c r="AE17" t="b">
        <f>_xll.dnaConversionToBoolean(AE1)</f>
        <v>0</v>
      </c>
      <c r="AF17" t="b">
        <f>_xll.dnaConversionToBoolean(AF1)</f>
        <v>0</v>
      </c>
    </row>
    <row r="19" spans="1:32" x14ac:dyDescent="0.25">
      <c r="A19" t="s">
        <v>8</v>
      </c>
      <c r="B19" t="b">
        <f>AND(B5=B12, B6=B13, B7=B14, B8=B15, B9=B16, B10=B17)</f>
        <v>1</v>
      </c>
      <c r="C19" t="b">
        <f t="shared" ref="C19:AF19" si="0">AND(C5=C12, C6=C13, C7=C14, C8=C15, C9=C16, C10=C17)</f>
        <v>1</v>
      </c>
      <c r="D19" t="e">
        <f t="shared" si="0"/>
        <v>#VALUE!</v>
      </c>
      <c r="E19" t="b">
        <f t="shared" si="0"/>
        <v>1</v>
      </c>
      <c r="F19" t="b">
        <f t="shared" si="0"/>
        <v>1</v>
      </c>
      <c r="G19" t="b">
        <f t="shared" si="0"/>
        <v>1</v>
      </c>
      <c r="H19" t="b">
        <f t="shared" si="0"/>
        <v>1</v>
      </c>
      <c r="I19" t="b">
        <f t="shared" si="0"/>
        <v>1</v>
      </c>
      <c r="J19" t="b">
        <f t="shared" si="0"/>
        <v>1</v>
      </c>
      <c r="K19" t="b">
        <f t="shared" si="0"/>
        <v>1</v>
      </c>
      <c r="L19" t="e">
        <f t="shared" si="0"/>
        <v>#VALUE!</v>
      </c>
      <c r="M19" t="b">
        <f t="shared" si="0"/>
        <v>1</v>
      </c>
      <c r="N19" t="b">
        <f t="shared" si="0"/>
        <v>1</v>
      </c>
      <c r="O19" t="e">
        <f t="shared" si="0"/>
        <v>#VALUE!</v>
      </c>
      <c r="P19" t="e">
        <f t="shared" si="0"/>
        <v>#VALUE!</v>
      </c>
      <c r="Q19" t="b">
        <f t="shared" si="0"/>
        <v>1</v>
      </c>
      <c r="R19" t="b">
        <f t="shared" si="0"/>
        <v>1</v>
      </c>
      <c r="S19" t="b">
        <f t="shared" si="0"/>
        <v>1</v>
      </c>
      <c r="T19" t="b">
        <f t="shared" si="0"/>
        <v>1</v>
      </c>
      <c r="U19" t="b">
        <f t="shared" si="0"/>
        <v>1</v>
      </c>
      <c r="V19" t="b">
        <f t="shared" si="0"/>
        <v>1</v>
      </c>
      <c r="W19" t="b">
        <f t="shared" si="0"/>
        <v>1</v>
      </c>
      <c r="X19" t="b">
        <f t="shared" si="0"/>
        <v>1</v>
      </c>
      <c r="Y19" t="b">
        <f t="shared" si="0"/>
        <v>1</v>
      </c>
      <c r="Z19" t="b">
        <f t="shared" si="0"/>
        <v>1</v>
      </c>
      <c r="AA19" t="b">
        <f t="shared" si="0"/>
        <v>1</v>
      </c>
      <c r="AB19" t="b">
        <f t="shared" si="0"/>
        <v>1</v>
      </c>
      <c r="AC19" t="b">
        <f t="shared" si="0"/>
        <v>1</v>
      </c>
      <c r="AD19" t="b">
        <f t="shared" si="0"/>
        <v>1</v>
      </c>
      <c r="AE19" t="b">
        <f t="shared" si="0"/>
        <v>1</v>
      </c>
      <c r="AF19" t="b">
        <f t="shared" si="0"/>
        <v>1</v>
      </c>
    </row>
    <row r="21" spans="1:32" x14ac:dyDescent="0.25">
      <c r="B21">
        <f>vbDirectInteger(B1)</f>
        <v>0</v>
      </c>
      <c r="C21">
        <f t="shared" ref="C21:AF21" si="1">vbDirectInteger(C1)</f>
        <v>4</v>
      </c>
      <c r="D21" t="e">
        <f t="shared" si="1"/>
        <v>#VALUE!</v>
      </c>
      <c r="E21">
        <f t="shared" si="1"/>
        <v>29208</v>
      </c>
      <c r="F21">
        <f t="shared" si="1"/>
        <v>0</v>
      </c>
      <c r="G21">
        <f t="shared" si="1"/>
        <v>0</v>
      </c>
      <c r="H21">
        <f t="shared" si="1"/>
        <v>1</v>
      </c>
      <c r="I21">
        <f t="shared" si="1"/>
        <v>0</v>
      </c>
      <c r="J21">
        <f t="shared" si="1"/>
        <v>0</v>
      </c>
      <c r="K21">
        <f t="shared" si="1"/>
        <v>-1</v>
      </c>
      <c r="L21" t="e">
        <f t="shared" si="1"/>
        <v>#VALUE!</v>
      </c>
      <c r="M21">
        <f t="shared" si="1"/>
        <v>-1</v>
      </c>
      <c r="N21">
        <f t="shared" si="1"/>
        <v>0</v>
      </c>
      <c r="O21" t="e">
        <f>vbDirectInteger(O1)</f>
        <v>#VALUE!</v>
      </c>
      <c r="P21" t="e">
        <f t="shared" si="1"/>
        <v>#VALUE!</v>
      </c>
      <c r="Q21">
        <f t="shared" si="1"/>
        <v>0</v>
      </c>
      <c r="R21">
        <f t="shared" si="1"/>
        <v>0</v>
      </c>
      <c r="S21">
        <f t="shared" si="1"/>
        <v>0</v>
      </c>
      <c r="T21">
        <f t="shared" si="1"/>
        <v>0</v>
      </c>
      <c r="U21">
        <f t="shared" si="1"/>
        <v>0</v>
      </c>
      <c r="V21">
        <f t="shared" si="1"/>
        <v>0</v>
      </c>
      <c r="W21">
        <f t="shared" si="1"/>
        <v>0</v>
      </c>
      <c r="X21">
        <f t="shared" si="1"/>
        <v>0</v>
      </c>
      <c r="Y21">
        <f t="shared" si="1"/>
        <v>0</v>
      </c>
      <c r="Z21">
        <f t="shared" si="1"/>
        <v>0</v>
      </c>
      <c r="AA21">
        <f t="shared" si="1"/>
        <v>0</v>
      </c>
      <c r="AB21">
        <f t="shared" si="1"/>
        <v>0</v>
      </c>
      <c r="AC21">
        <f t="shared" si="1"/>
        <v>0</v>
      </c>
      <c r="AD21">
        <f t="shared" si="1"/>
        <v>0</v>
      </c>
      <c r="AE21">
        <f t="shared" si="1"/>
        <v>0</v>
      </c>
      <c r="AF21">
        <f t="shared" si="1"/>
        <v>0</v>
      </c>
    </row>
    <row r="22" spans="1:32" x14ac:dyDescent="0.25">
      <c r="B22">
        <f>vbDirectLong(B1)</f>
        <v>0</v>
      </c>
      <c r="C22">
        <f t="shared" ref="C22:AF22" si="2">vbDirectLong(C1)</f>
        <v>4</v>
      </c>
      <c r="D22" t="e">
        <f t="shared" si="2"/>
        <v>#VALUE!</v>
      </c>
      <c r="E22">
        <f t="shared" si="2"/>
        <v>29208</v>
      </c>
      <c r="F22">
        <f t="shared" si="2"/>
        <v>0</v>
      </c>
      <c r="G22">
        <f t="shared" si="2"/>
        <v>0</v>
      </c>
      <c r="H22">
        <f t="shared" si="2"/>
        <v>1</v>
      </c>
      <c r="I22">
        <f t="shared" si="2"/>
        <v>0</v>
      </c>
      <c r="J22">
        <f t="shared" si="2"/>
        <v>0</v>
      </c>
      <c r="K22">
        <f t="shared" si="2"/>
        <v>-1</v>
      </c>
      <c r="L22" t="e">
        <f t="shared" si="2"/>
        <v>#VALUE!</v>
      </c>
      <c r="M22">
        <f t="shared" si="2"/>
        <v>-1</v>
      </c>
      <c r="N22">
        <f t="shared" si="2"/>
        <v>0</v>
      </c>
      <c r="O22" t="e">
        <f t="shared" si="2"/>
        <v>#VALUE!</v>
      </c>
      <c r="P22" t="e">
        <f t="shared" si="2"/>
        <v>#VALUE!</v>
      </c>
      <c r="Q22">
        <f t="shared" si="2"/>
        <v>0</v>
      </c>
      <c r="R22">
        <f t="shared" si="2"/>
        <v>0</v>
      </c>
      <c r="S22">
        <f t="shared" si="2"/>
        <v>0</v>
      </c>
      <c r="T22">
        <f t="shared" si="2"/>
        <v>0</v>
      </c>
      <c r="U22">
        <f t="shared" si="2"/>
        <v>0</v>
      </c>
      <c r="V22">
        <f t="shared" si="2"/>
        <v>0</v>
      </c>
      <c r="W22">
        <f t="shared" si="2"/>
        <v>0</v>
      </c>
      <c r="X22">
        <f t="shared" si="2"/>
        <v>0</v>
      </c>
      <c r="Y22">
        <f t="shared" si="2"/>
        <v>0</v>
      </c>
      <c r="Z22">
        <f t="shared" si="2"/>
        <v>0</v>
      </c>
      <c r="AA22">
        <f t="shared" si="2"/>
        <v>0</v>
      </c>
      <c r="AB22">
        <f t="shared" si="2"/>
        <v>0</v>
      </c>
      <c r="AC22">
        <f t="shared" si="2"/>
        <v>0</v>
      </c>
      <c r="AD22">
        <f t="shared" si="2"/>
        <v>0</v>
      </c>
      <c r="AE22">
        <f t="shared" si="2"/>
        <v>0</v>
      </c>
      <c r="AF22">
        <f t="shared" si="2"/>
        <v>0</v>
      </c>
    </row>
    <row r="23" spans="1:32" x14ac:dyDescent="0.25">
      <c r="B23" t="b">
        <f>vbDirectBoolean(B1)</f>
        <v>0</v>
      </c>
      <c r="C23" t="b">
        <f t="shared" ref="C23:AF23" si="3">vbDirectBoolean(C1)</f>
        <v>1</v>
      </c>
      <c r="D23" t="e">
        <f t="shared" si="3"/>
        <v>#VALUE!</v>
      </c>
      <c r="E23" t="b">
        <f t="shared" si="3"/>
        <v>1</v>
      </c>
      <c r="F23" t="b">
        <f t="shared" si="3"/>
        <v>1</v>
      </c>
      <c r="G23" t="b">
        <f t="shared" si="3"/>
        <v>0</v>
      </c>
      <c r="H23" t="b">
        <f t="shared" si="3"/>
        <v>1</v>
      </c>
      <c r="I23" t="b">
        <f t="shared" si="3"/>
        <v>1</v>
      </c>
      <c r="J23" t="b">
        <f t="shared" si="3"/>
        <v>1</v>
      </c>
      <c r="K23" t="b">
        <f t="shared" si="3"/>
        <v>1</v>
      </c>
      <c r="L23" t="e">
        <f t="shared" si="3"/>
        <v>#VALUE!</v>
      </c>
      <c r="M23" t="b">
        <f t="shared" si="3"/>
        <v>1</v>
      </c>
      <c r="N23" t="b">
        <f t="shared" si="3"/>
        <v>0</v>
      </c>
      <c r="O23" t="b">
        <f t="shared" si="3"/>
        <v>0</v>
      </c>
      <c r="P23" t="e">
        <f t="shared" si="3"/>
        <v>#VALUE!</v>
      </c>
      <c r="Q23" t="b">
        <f t="shared" si="3"/>
        <v>0</v>
      </c>
      <c r="R23" t="b">
        <f t="shared" si="3"/>
        <v>0</v>
      </c>
      <c r="S23" t="b">
        <f t="shared" si="3"/>
        <v>0</v>
      </c>
      <c r="T23" t="b">
        <f t="shared" si="3"/>
        <v>0</v>
      </c>
      <c r="U23" t="b">
        <f t="shared" si="3"/>
        <v>0</v>
      </c>
      <c r="V23" t="b">
        <f t="shared" si="3"/>
        <v>0</v>
      </c>
      <c r="W23" t="b">
        <f t="shared" si="3"/>
        <v>0</v>
      </c>
      <c r="X23" t="b">
        <f t="shared" si="3"/>
        <v>0</v>
      </c>
      <c r="Y23" t="b">
        <f t="shared" si="3"/>
        <v>0</v>
      </c>
      <c r="Z23" t="b">
        <f t="shared" si="3"/>
        <v>0</v>
      </c>
      <c r="AA23" t="b">
        <f t="shared" si="3"/>
        <v>0</v>
      </c>
      <c r="AB23" t="b">
        <f t="shared" si="3"/>
        <v>0</v>
      </c>
      <c r="AC23" t="b">
        <f t="shared" si="3"/>
        <v>0</v>
      </c>
      <c r="AD23" t="b">
        <f t="shared" si="3"/>
        <v>0</v>
      </c>
      <c r="AE23" t="b">
        <f t="shared" si="3"/>
        <v>0</v>
      </c>
      <c r="AF23" t="b">
        <f t="shared" si="3"/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2"/>
  <sheetViews>
    <sheetView tabSelected="1" workbookViewId="0">
      <selection activeCell="A3" sqref="A3"/>
    </sheetView>
  </sheetViews>
  <sheetFormatPr defaultRowHeight="15" x14ac:dyDescent="0.25"/>
  <sheetData>
    <row r="1" spans="1:1" x14ac:dyDescent="0.25">
      <c r="A1" t="str">
        <f>_xll.dnaDelayedHello("World!", 3000)</f>
        <v>Hello World!!</v>
      </c>
    </row>
    <row r="2" spans="1:1" x14ac:dyDescent="0.25">
      <c r="A2" t="str">
        <f>_xll.dnaDelayedHelloAsync("World!", 3000)</f>
        <v>Hello World!!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Nullable</vt:lpstr>
      <vt:lpstr>Conversions</vt:lpstr>
      <vt:lpstr>Async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Govert</dc:creator>
  <cp:lastModifiedBy>Govert</cp:lastModifiedBy>
  <dcterms:created xsi:type="dcterms:W3CDTF">2014-03-21T19:01:50Z</dcterms:created>
  <dcterms:modified xsi:type="dcterms:W3CDTF">2015-04-11T19:50:22Z</dcterms:modified>
</cp:coreProperties>
</file>